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milanesa" sheetId="1" state="visible" r:id="rId1"/>
    <sheet xmlns:r="http://schemas.openxmlformats.org/officeDocument/2006/relationships" name="Plato nuevo" sheetId="2" state="visible" r:id="rId2"/>
    <sheet xmlns:r="http://schemas.openxmlformats.org/officeDocument/2006/relationships" name="Cómo us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"/>
    <numFmt numFmtId="165" formatCode="0.0%"/>
    <numFmt numFmtId="166" formatCode="#,##0.000"/>
  </numFmts>
  <fonts count="10">
    <font>
      <name val="Calibri"/>
      <family val="2"/>
      <color theme="1"/>
      <sz val="11"/>
      <scheme val="minor"/>
    </font>
    <font>
      <name val="Calibri"/>
      <b val="1"/>
      <color rgb="000D2B6B"/>
      <sz val="18"/>
    </font>
    <font>
      <name val="Calibri"/>
      <color rgb="00595959"/>
      <sz val="11"/>
    </font>
    <font>
      <name val="Calibri"/>
      <color rgb="000C4FB5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0C66E4"/>
      <sz val="11"/>
    </font>
    <font>
      <name val="Calibri"/>
      <i val="1"/>
      <color rgb="007F7F7F"/>
      <sz val="10"/>
    </font>
    <font>
      <name val="Calibri"/>
      <b val="1"/>
      <color rgb="000D2B6B"/>
      <sz val="13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0D2B6B"/>
      </patternFill>
    </fill>
    <fill>
      <patternFill patternType="solid">
        <fgColor rgb="00F7F7F7"/>
      </patternFill>
    </fill>
    <fill>
      <patternFill patternType="solid">
        <fgColor rgb="00E9F2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3" fillId="2" borderId="1" pivotButton="0" quotePrefix="0" xfId="0"/>
    <xf numFmtId="0" fontId="7" fillId="0" borderId="0" pivotButton="0" quotePrefix="0" xfId="0"/>
    <xf numFmtId="0" fontId="4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3" fillId="4" borderId="1" pivotButton="0" quotePrefix="0" xfId="0"/>
    <xf numFmtId="0" fontId="8" fillId="5" borderId="1" pivotButton="0" quotePrefix="0" xfId="0"/>
    <xf numFmtId="0" fontId="0" fillId="5" borderId="1" pivotButton="0" quotePrefix="0" xfId="0"/>
    <xf numFmtId="164" fontId="8" fillId="5" borderId="1" pivotButton="0" quotePrefix="0" xfId="0"/>
    <xf numFmtId="0" fontId="0" fillId="0" borderId="1" pivotButton="0" quotePrefix="0" xfId="0"/>
    <xf numFmtId="164" fontId="3" fillId="2" borderId="1" applyAlignment="1" pivotButton="0" quotePrefix="0" xfId="0">
      <alignment horizontal="right"/>
    </xf>
    <xf numFmtId="49" fontId="3" fillId="2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3" fillId="2" borderId="1" applyAlignment="1" pivotButton="0" quotePrefix="0" xfId="0">
      <alignment horizontal="right"/>
    </xf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3D7A1F"/>
      </font>
      <fill>
        <patternFill patternType="solid">
          <fgColor rgb="00E8F5E2"/>
        </patternFill>
      </fill>
    </dxf>
    <dxf>
      <font>
        <b val="1"/>
        <color rgb="00C5311A"/>
      </font>
      <fill>
        <patternFill patternType="solid">
          <fgColor rgb="00FBE7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1" customWidth="1" min="4" max="4"/>
    <col width="13" customWidth="1" min="5" max="5"/>
    <col width="15" customWidth="1" min="6" max="6"/>
    <col width="12" customWidth="1" min="7" max="7"/>
    <col width="15" customWidth="1" min="8" max="8"/>
    <col width="3" customWidth="1" min="9" max="9"/>
    <col width="46" customWidth="1" min="10" max="10"/>
  </cols>
  <sheetData>
    <row r="1">
      <c r="A1" s="1" t="inlineStr">
        <is>
          <t>FICHA DE COSTO · MILANESA CON PURÉ</t>
        </is>
      </c>
    </row>
    <row r="2">
      <c r="A2" s="2" t="inlineStr">
        <is>
          <t>Ficha de costo por plato · precios de compra sin IVA si sos responsable inscripto; con IVA si sos monotributista</t>
        </is>
      </c>
    </row>
    <row r="4">
      <c r="A4" s="3" t="inlineStr">
        <is>
          <t>Plato</t>
        </is>
      </c>
      <c r="B4" s="4" t="inlineStr">
        <is>
          <t>Milanesa con puré</t>
        </is>
      </c>
      <c r="C4" s="5" t="n"/>
      <c r="D4" s="3" t="inlineStr">
        <is>
          <t>Porciones que rinde</t>
        </is>
      </c>
      <c r="F4" s="4" t="n">
        <v>1</v>
      </c>
      <c r="G4" s="3" t="inlineStr">
        <is>
          <t>Actualizada</t>
        </is>
      </c>
      <c r="H4" s="4" t="inlineStr">
        <is>
          <t>14/09/2026</t>
        </is>
      </c>
    </row>
    <row r="6" ht="22" customHeight="1">
      <c r="A6" s="6" t="inlineStr">
        <is>
          <t>Ingrediente</t>
        </is>
      </c>
      <c r="B6" s="6" t="inlineStr">
        <is>
          <t>Unidad</t>
        </is>
      </c>
      <c r="C6" s="7" t="inlineStr">
        <is>
          <t>Precio de compra</t>
        </is>
      </c>
      <c r="D6" s="7" t="inlineStr">
        <is>
          <t>Merma %</t>
        </is>
      </c>
      <c r="E6" s="7" t="inlineStr">
        <is>
          <t>Rendimiento</t>
        </is>
      </c>
      <c r="F6" s="7" t="inlineStr">
        <is>
          <t>Costo real</t>
        </is>
      </c>
      <c r="G6" s="7" t="inlineStr">
        <is>
          <t>Cantidad</t>
        </is>
      </c>
      <c r="H6" s="7" t="inlineStr">
        <is>
          <t>Costo</t>
        </is>
      </c>
      <c r="J6" s="8" t="inlineStr">
        <is>
          <t>Cómo se calcula</t>
        </is>
      </c>
    </row>
    <row r="7">
      <c r="A7" s="4" t="inlineStr">
        <is>
          <t>Nalga</t>
        </is>
      </c>
      <c r="B7" s="4" t="inlineStr">
        <is>
          <t>kg</t>
        </is>
      </c>
      <c r="C7" s="9" t="n">
        <v>12000</v>
      </c>
      <c r="D7" s="10" t="n">
        <v>0.2</v>
      </c>
      <c r="E7" s="11">
        <f>IF(A7="","",1-D7)</f>
        <v/>
      </c>
      <c r="F7" s="12">
        <f>IF(OR(C7="",E7=""),"",C7/E7)</f>
        <v/>
      </c>
      <c r="G7" s="13" t="n">
        <v>0.2</v>
      </c>
      <c r="H7" s="12">
        <f>IF(OR(F7="",G7=""),"",F7*G7)</f>
        <v/>
      </c>
      <c r="J7" s="14" t="inlineStr">
        <is>
          <t>Azul: lo cargás vos. Negro: se calcula solo.</t>
        </is>
      </c>
    </row>
    <row r="8">
      <c r="A8" s="4" t="inlineStr">
        <is>
          <t>Pan rallado</t>
        </is>
      </c>
      <c r="B8" s="4" t="inlineStr">
        <is>
          <t>kg</t>
        </is>
      </c>
      <c r="C8" s="9" t="n">
        <v>3000</v>
      </c>
      <c r="D8" s="10" t="n">
        <v>0</v>
      </c>
      <c r="E8" s="11">
        <f>IF(A8="","",1-D8)</f>
        <v/>
      </c>
      <c r="F8" s="12">
        <f>IF(OR(C8="",E8=""),"",C8/E8)</f>
        <v/>
      </c>
      <c r="G8" s="13" t="n">
        <v>0.04</v>
      </c>
      <c r="H8" s="12">
        <f>IF(OR(F8="",G8=""),"",F8*G8)</f>
        <v/>
      </c>
      <c r="J8" s="14" t="inlineStr">
        <is>
          <t>Merma: lo que se tira al limpiar, pelar o cocinar.</t>
        </is>
      </c>
    </row>
    <row r="9">
      <c r="A9" s="4" t="inlineStr">
        <is>
          <t>Huevo</t>
        </is>
      </c>
      <c r="B9" s="4" t="inlineStr">
        <is>
          <t>unidad</t>
        </is>
      </c>
      <c r="C9" s="9" t="n">
        <v>250</v>
      </c>
      <c r="D9" s="10" t="n">
        <v>0</v>
      </c>
      <c r="E9" s="11">
        <f>IF(A9="","",1-D9)</f>
        <v/>
      </c>
      <c r="F9" s="12">
        <f>IF(OR(C9="",E9=""),"",C9/E9)</f>
        <v/>
      </c>
      <c r="G9" s="13" t="n">
        <v>0.5</v>
      </c>
      <c r="H9" s="12">
        <f>IF(OR(F9="",G9=""),"",F9*G9)</f>
        <v/>
      </c>
      <c r="J9" s="14" t="inlineStr">
        <is>
          <t>Rendimiento = 1 − merma (80 % si se pierde 20 %).</t>
        </is>
      </c>
    </row>
    <row r="10">
      <c r="A10" s="4" t="inlineStr">
        <is>
          <t>Papa</t>
        </is>
      </c>
      <c r="B10" s="4" t="inlineStr">
        <is>
          <t>kg</t>
        </is>
      </c>
      <c r="C10" s="9" t="n">
        <v>1200</v>
      </c>
      <c r="D10" s="10" t="n">
        <v>0.15</v>
      </c>
      <c r="E10" s="11">
        <f>IF(A10="","",1-D10)</f>
        <v/>
      </c>
      <c r="F10" s="12">
        <f>IF(OR(C10="",E10=""),"",C10/E10)</f>
        <v/>
      </c>
      <c r="G10" s="13" t="n">
        <v>0.25</v>
      </c>
      <c r="H10" s="12">
        <f>IF(OR(F10="",G10=""),"",F10*G10)</f>
        <v/>
      </c>
      <c r="J10" s="14" t="inlineStr">
        <is>
          <t>Costo real = precio de compra ÷ rendimiento.</t>
        </is>
      </c>
    </row>
    <row r="11">
      <c r="A11" s="4" t="inlineStr">
        <is>
          <t>Manteca</t>
        </is>
      </c>
      <c r="B11" s="4" t="inlineStr">
        <is>
          <t>kg</t>
        </is>
      </c>
      <c r="C11" s="9" t="n">
        <v>9000</v>
      </c>
      <c r="D11" s="10" t="n">
        <v>0</v>
      </c>
      <c r="E11" s="11">
        <f>IF(A11="","",1-D11)</f>
        <v/>
      </c>
      <c r="F11" s="12">
        <f>IF(OR(C11="",E11=""),"",C11/E11)</f>
        <v/>
      </c>
      <c r="G11" s="13" t="n">
        <v>0.01</v>
      </c>
      <c r="H11" s="12">
        <f>IF(OR(F11="",G11=""),"",F11*G11)</f>
        <v/>
      </c>
      <c r="J11" s="14" t="inlineStr">
        <is>
          <t>Cantidad en la misma unidad que el precio: 200 g = 0,200 kg.</t>
        </is>
      </c>
    </row>
    <row r="12">
      <c r="A12" s="4" t="inlineStr">
        <is>
          <t>Leche</t>
        </is>
      </c>
      <c r="B12" s="4" t="inlineStr">
        <is>
          <t>litro</t>
        </is>
      </c>
      <c r="C12" s="9" t="n">
        <v>1200</v>
      </c>
      <c r="D12" s="10" t="n">
        <v>0</v>
      </c>
      <c r="E12" s="11">
        <f>IF(A12="","",1-D12)</f>
        <v/>
      </c>
      <c r="F12" s="12">
        <f>IF(OR(C12="",E12=""),"",C12/E12)</f>
        <v/>
      </c>
      <c r="G12" s="13" t="n">
        <v>0.05</v>
      </c>
      <c r="H12" s="12">
        <f>IF(OR(F12="",G12=""),"",F12*G12)</f>
        <v/>
      </c>
      <c r="J12" s="14" t="inlineStr">
        <is>
          <t>Cómo medir la merma: pesá antes y después de limpiar.</t>
        </is>
      </c>
    </row>
    <row r="13">
      <c r="A13" s="4" t="inlineStr">
        <is>
          <t>Aceite de fritura (parte proporcional)</t>
        </is>
      </c>
      <c r="B13" s="4" t="inlineStr">
        <is>
          <t>porción</t>
        </is>
      </c>
      <c r="C13" s="9" t="n">
        <v>200</v>
      </c>
      <c r="D13" s="10" t="n">
        <v>0</v>
      </c>
      <c r="E13" s="11">
        <f>IF(A13="","",1-D13)</f>
        <v/>
      </c>
      <c r="F13" s="12">
        <f>IF(OR(C13="",E13=""),"",C13/E13)</f>
        <v/>
      </c>
      <c r="G13" s="13" t="n">
        <v>1</v>
      </c>
      <c r="H13" s="12">
        <f>IF(OR(F13="",G13=""),"",F13*G13)</f>
        <v/>
      </c>
      <c r="J13" s="14" t="inlineStr">
        <is>
          <t>Merma % = (peso comprado − peso limpio) ÷ peso comprado.</t>
        </is>
      </c>
    </row>
    <row r="14">
      <c r="A14" s="4" t="n"/>
      <c r="B14" s="4" t="n"/>
      <c r="C14" s="9" t="n"/>
      <c r="D14" s="10" t="n"/>
      <c r="E14" s="11">
        <f>IF(A14="","",1-D14)</f>
        <v/>
      </c>
      <c r="F14" s="12">
        <f>IF(OR(C14="",E14=""),"",C14/E14)</f>
        <v/>
      </c>
      <c r="G14" s="13" t="n"/>
      <c r="H14" s="12">
        <f>IF(OR(F14="",G14=""),"",F14*G14)</f>
        <v/>
      </c>
    </row>
    <row r="15">
      <c r="A15" s="4" t="n"/>
      <c r="B15" s="4" t="n"/>
      <c r="C15" s="9" t="n"/>
      <c r="D15" s="10" t="n"/>
      <c r="E15" s="11">
        <f>IF(A15="","",1-D15)</f>
        <v/>
      </c>
      <c r="F15" s="12">
        <f>IF(OR(C15="",E15=""),"",C15/E15)</f>
        <v/>
      </c>
      <c r="G15" s="13" t="n"/>
      <c r="H15" s="12">
        <f>IF(OR(F15="",G15=""),"",F15*G15)</f>
        <v/>
      </c>
    </row>
    <row r="16">
      <c r="A16" s="4" t="n"/>
      <c r="B16" s="4" t="n"/>
      <c r="C16" s="9" t="n"/>
      <c r="D16" s="10" t="n"/>
      <c r="E16" s="11">
        <f>IF(A16="","",1-D16)</f>
        <v/>
      </c>
      <c r="F16" s="12">
        <f>IF(OR(C16="",E16=""),"",C16/E16)</f>
        <v/>
      </c>
      <c r="G16" s="13" t="n"/>
      <c r="H16" s="12">
        <f>IF(OR(F16="",G16=""),"",F16*G16)</f>
        <v/>
      </c>
    </row>
    <row r="17">
      <c r="A17" s="4" t="n"/>
      <c r="B17" s="4" t="n"/>
      <c r="C17" s="9" t="n"/>
      <c r="D17" s="10" t="n"/>
      <c r="E17" s="11">
        <f>IF(A17="","",1-D17)</f>
        <v/>
      </c>
      <c r="F17" s="12">
        <f>IF(OR(C17="",E17=""),"",C17/E17)</f>
        <v/>
      </c>
      <c r="G17" s="13" t="n"/>
      <c r="H17" s="12">
        <f>IF(OR(F17="",G17=""),"",F17*G17)</f>
        <v/>
      </c>
    </row>
    <row r="18">
      <c r="A18" s="4" t="n"/>
      <c r="B18" s="4" t="n"/>
      <c r="C18" s="9" t="n"/>
      <c r="D18" s="10" t="n"/>
      <c r="E18" s="11">
        <f>IF(A18="","",1-D18)</f>
        <v/>
      </c>
      <c r="F18" s="12">
        <f>IF(OR(C18="",E18=""),"",C18/E18)</f>
        <v/>
      </c>
      <c r="G18" s="13" t="n"/>
      <c r="H18" s="12">
        <f>IF(OR(F18="",G18=""),"",F18*G18)</f>
        <v/>
      </c>
    </row>
    <row r="20">
      <c r="A20" s="15" t="inlineStr">
        <is>
          <t>Subtotal ingredientes</t>
        </is>
      </c>
      <c r="B20" s="16" t="n"/>
      <c r="C20" s="16" t="n"/>
      <c r="D20" s="16" t="n"/>
      <c r="E20" s="16" t="n"/>
      <c r="F20" s="16" t="n"/>
      <c r="G20" s="16" t="n"/>
      <c r="H20" s="17">
        <f>SUM(H7:H18)</f>
        <v/>
      </c>
    </row>
    <row r="21">
      <c r="A21" s="15" t="inlineStr">
        <is>
          <t>Varios: sal, condimentos, aceite (% del subtotal)</t>
        </is>
      </c>
      <c r="B21" s="16" t="n"/>
      <c r="C21" s="16" t="n"/>
      <c r="D21" s="16" t="n"/>
      <c r="E21" s="16" t="n"/>
      <c r="F21" s="16" t="n"/>
      <c r="G21" s="18" t="n">
        <v>0.05</v>
      </c>
      <c r="H21" s="17">
        <f>H20*G21</f>
        <v/>
      </c>
    </row>
    <row r="22">
      <c r="A22" s="15" t="inlineStr">
        <is>
          <t>Costo de la receta</t>
        </is>
      </c>
      <c r="B22" s="16" t="n"/>
      <c r="C22" s="16" t="n"/>
      <c r="D22" s="16" t="n"/>
      <c r="E22" s="16" t="n"/>
      <c r="F22" s="16" t="n"/>
      <c r="G22" s="16" t="n"/>
      <c r="H22" s="17">
        <f>H20+H21</f>
        <v/>
      </c>
    </row>
    <row r="23">
      <c r="A23" s="19" t="inlineStr">
        <is>
          <t>COSTO POR PORCIÓN</t>
        </is>
      </c>
      <c r="B23" s="20" t="n"/>
      <c r="C23" s="20" t="n"/>
      <c r="D23" s="20" t="n"/>
      <c r="E23" s="20" t="n"/>
      <c r="F23" s="20" t="n"/>
      <c r="G23" s="20" t="n"/>
      <c r="H23" s="21">
        <f>IF(F4&gt;0,H22/F4,"")</f>
        <v/>
      </c>
    </row>
    <row r="25">
      <c r="A25" s="8" t="inlineStr">
        <is>
          <t>PRECIO Y MARGEN</t>
        </is>
      </c>
    </row>
    <row r="26">
      <c r="A26" s="22" t="inlineStr">
        <is>
          <t>Precio de carta (con IVA)</t>
        </is>
      </c>
      <c r="B26" s="23" t="n">
        <v>16800</v>
      </c>
      <c r="C26" s="14" t="inlineStr">
        <is>
          <t>Lo que figura en la carta.</t>
        </is>
      </c>
    </row>
    <row r="27">
      <c r="A27" s="22" t="inlineStr">
        <is>
          <t>¿Sos responsable inscripto? (SI / NO)</t>
        </is>
      </c>
      <c r="B27" s="24" t="inlineStr">
        <is>
          <t>SI</t>
        </is>
      </c>
      <c r="C27" s="14" t="inlineStr">
        <is>
          <t>Si sos monotributista poné NO: el precio no se divide por 1,21.</t>
        </is>
      </c>
    </row>
    <row r="28">
      <c r="A28" s="22" t="inlineStr">
        <is>
          <t>Precio sin IVA</t>
        </is>
      </c>
      <c r="B28" s="25">
        <f>IF(B26="","",IF(UPPER(B27)="SI",B26/1.21,B26))</f>
        <v/>
      </c>
      <c r="C28" s="14" t="inlineStr">
        <is>
          <t>Precio de carta ÷ 1,21 si sos responsable inscripto.</t>
        </is>
      </c>
    </row>
    <row r="29">
      <c r="A29" s="22" t="inlineStr">
        <is>
          <t>Food cost real</t>
        </is>
      </c>
      <c r="B29" s="26">
        <f>IF(OR(B28="",H23=""),"",H23/B28)</f>
        <v/>
      </c>
      <c r="C29" s="14" t="inlineStr">
        <is>
          <t>Qué parte del precio se va en materia prima.</t>
        </is>
      </c>
    </row>
    <row r="30">
      <c r="A30" s="22" t="inlineStr">
        <is>
          <t>Margen de contribución</t>
        </is>
      </c>
      <c r="B30" s="25">
        <f>IF(OR(B28="",H23=""),"",B28-H23)</f>
        <v/>
      </c>
      <c r="C30" s="14" t="inlineStr">
        <is>
          <t>Lo que deja cada plato para pagar gastos y ganar.</t>
        </is>
      </c>
    </row>
    <row r="31">
      <c r="A31" s="22" t="inlineStr">
        <is>
          <t>Food cost objetivo</t>
        </is>
      </c>
      <c r="B31" s="27" t="n">
        <v>0.3</v>
      </c>
      <c r="C31" s="14" t="inlineStr">
        <is>
          <t>En gastronomía se suele usar entre 25 % y 35 %.</t>
        </is>
      </c>
    </row>
    <row r="32">
      <c r="A32" s="22" t="inlineStr">
        <is>
          <t>Precio sugerido (con IVA si corresponde)</t>
        </is>
      </c>
      <c r="B32" s="25">
        <f>IF(H23="","",H23/B31*IF(UPPER(B27)="SI",1.21,1))</f>
        <v/>
      </c>
      <c r="C32" s="14" t="inlineStr">
        <is>
          <t>Costo por porción ÷ food cost objetivo.</t>
        </is>
      </c>
    </row>
    <row r="34">
      <c r="A34" s="8" t="inlineStr">
        <is>
          <t>PREPARACIÓN</t>
        </is>
      </c>
    </row>
    <row r="35">
      <c r="A35" s="28" t="inlineStr">
        <is>
          <t>1. Limpiar la nalga, cortar bifes de 200 g y aplanar a 5 mm.</t>
        </is>
      </c>
    </row>
    <row r="36">
      <c r="A36" s="28" t="inlineStr">
        <is>
          <t>2. Pasar por huevo batido y pan rallado; presionar para que adhiera.</t>
        </is>
      </c>
    </row>
    <row r="37">
      <c r="A37" s="28" t="inlineStr">
        <is>
          <t>3. Freír en aceite a 170 °C, 3 a 4 minutos por lado. Escurrir.</t>
        </is>
      </c>
    </row>
    <row r="38">
      <c r="A38" s="28" t="inlineStr">
        <is>
          <t>4. Hervir la papa 20 minutos, pisar con manteca y leche caliente, salar.</t>
        </is>
      </c>
    </row>
    <row r="39">
      <c r="A39" s="28" t="inlineStr">
        <is>
          <t>5. Servir la milanesa con 250 g de puré, pesados en balanza.</t>
        </is>
      </c>
    </row>
  </sheetData>
  <mergeCells count="6">
    <mergeCell ref="A39:H39"/>
    <mergeCell ref="A35:H35"/>
    <mergeCell ref="A38:H38"/>
    <mergeCell ref="A36:H36"/>
    <mergeCell ref="A37:H37"/>
    <mergeCell ref="B4:C4"/>
  </mergeCells>
  <conditionalFormatting sqref="B29">
    <cfRule type="expression" priority="1" dxfId="0">
      <formula>AND(B29&lt;&gt;"",B29&lt;=B31)</formula>
    </cfRule>
    <cfRule type="expression" priority="2" dxfId="1">
      <formula>AND(B29&lt;&gt;"",B29&gt;B31)</formula>
    </cfRule>
  </conditionalFormatting>
  <dataValidations count="2">
    <dataValidation sqref="D7:D18" showDropDown="0" showInputMessage="0" showErrorMessage="0" allowBlank="1" errorTitle="Merma" error="La merma va entre 0 % y 95 %." type="decimal" operator="between">
      <formula1>0</formula1>
      <formula2>0.95</formula2>
    </dataValidation>
    <dataValidation sqref="B27" showDropDown="0" showInputMessage="0" showErrorMessage="0" allowBlank="0" type="list">
      <formula1>"SI,NO"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1" customWidth="1" min="4" max="4"/>
    <col width="13" customWidth="1" min="5" max="5"/>
    <col width="15" customWidth="1" min="6" max="6"/>
    <col width="12" customWidth="1" min="7" max="7"/>
    <col width="15" customWidth="1" min="8" max="8"/>
    <col width="3" customWidth="1" min="9" max="9"/>
    <col width="46" customWidth="1" min="10" max="10"/>
  </cols>
  <sheetData>
    <row r="1">
      <c r="A1" s="1" t="inlineStr">
        <is>
          <t>FICHA DE COSTO · (nombre del plato)</t>
        </is>
      </c>
    </row>
    <row r="2">
      <c r="A2" s="2" t="inlineStr">
        <is>
          <t>Ficha de costo por plato · precios de compra sin IVA si sos responsable inscripto; con IVA si sos monotributista</t>
        </is>
      </c>
    </row>
    <row r="4">
      <c r="A4" s="3" t="inlineStr">
        <is>
          <t>Plato</t>
        </is>
      </c>
      <c r="B4" s="4" t="inlineStr"/>
      <c r="C4" s="5" t="n"/>
      <c r="D4" s="3" t="inlineStr">
        <is>
          <t>Porciones que rinde</t>
        </is>
      </c>
      <c r="F4" s="4" t="n">
        <v>1</v>
      </c>
      <c r="G4" s="3" t="inlineStr">
        <is>
          <t>Actualizada</t>
        </is>
      </c>
      <c r="H4" s="4" t="inlineStr"/>
    </row>
    <row r="6" ht="22" customHeight="1">
      <c r="A6" s="6" t="inlineStr">
        <is>
          <t>Ingrediente</t>
        </is>
      </c>
      <c r="B6" s="6" t="inlineStr">
        <is>
          <t>Unidad</t>
        </is>
      </c>
      <c r="C6" s="7" t="inlineStr">
        <is>
          <t>Precio de compra</t>
        </is>
      </c>
      <c r="D6" s="7" t="inlineStr">
        <is>
          <t>Merma %</t>
        </is>
      </c>
      <c r="E6" s="7" t="inlineStr">
        <is>
          <t>Rendimiento</t>
        </is>
      </c>
      <c r="F6" s="7" t="inlineStr">
        <is>
          <t>Costo real</t>
        </is>
      </c>
      <c r="G6" s="7" t="inlineStr">
        <is>
          <t>Cantidad</t>
        </is>
      </c>
      <c r="H6" s="7" t="inlineStr">
        <is>
          <t>Costo</t>
        </is>
      </c>
      <c r="J6" s="8" t="inlineStr">
        <is>
          <t>Cómo se calcula</t>
        </is>
      </c>
    </row>
    <row r="7">
      <c r="A7" s="4" t="n"/>
      <c r="B7" s="4" t="n"/>
      <c r="C7" s="9" t="n"/>
      <c r="D7" s="10" t="n"/>
      <c r="E7" s="11">
        <f>IF(A7="","",1-D7)</f>
        <v/>
      </c>
      <c r="F7" s="12">
        <f>IF(OR(C7="",E7=""),"",C7/E7)</f>
        <v/>
      </c>
      <c r="G7" s="13" t="n"/>
      <c r="H7" s="12">
        <f>IF(OR(F7="",G7=""),"",F7*G7)</f>
        <v/>
      </c>
      <c r="J7" s="14" t="inlineStr">
        <is>
          <t>Azul: lo cargás vos. Negro: se calcula solo.</t>
        </is>
      </c>
    </row>
    <row r="8">
      <c r="A8" s="4" t="n"/>
      <c r="B8" s="4" t="n"/>
      <c r="C8" s="9" t="n"/>
      <c r="D8" s="10" t="n"/>
      <c r="E8" s="11">
        <f>IF(A8="","",1-D8)</f>
        <v/>
      </c>
      <c r="F8" s="12">
        <f>IF(OR(C8="",E8=""),"",C8/E8)</f>
        <v/>
      </c>
      <c r="G8" s="13" t="n"/>
      <c r="H8" s="12">
        <f>IF(OR(F8="",G8=""),"",F8*G8)</f>
        <v/>
      </c>
      <c r="J8" s="14" t="inlineStr">
        <is>
          <t>Merma: lo que se tira al limpiar, pelar o cocinar.</t>
        </is>
      </c>
    </row>
    <row r="9">
      <c r="A9" s="4" t="n"/>
      <c r="B9" s="4" t="n"/>
      <c r="C9" s="9" t="n"/>
      <c r="D9" s="10" t="n"/>
      <c r="E9" s="11">
        <f>IF(A9="","",1-D9)</f>
        <v/>
      </c>
      <c r="F9" s="12">
        <f>IF(OR(C9="",E9=""),"",C9/E9)</f>
        <v/>
      </c>
      <c r="G9" s="13" t="n"/>
      <c r="H9" s="12">
        <f>IF(OR(F9="",G9=""),"",F9*G9)</f>
        <v/>
      </c>
      <c r="J9" s="14" t="inlineStr">
        <is>
          <t>Rendimiento = 1 − merma (80 % si se pierde 20 %).</t>
        </is>
      </c>
    </row>
    <row r="10">
      <c r="A10" s="4" t="n"/>
      <c r="B10" s="4" t="n"/>
      <c r="C10" s="9" t="n"/>
      <c r="D10" s="10" t="n"/>
      <c r="E10" s="11">
        <f>IF(A10="","",1-D10)</f>
        <v/>
      </c>
      <c r="F10" s="12">
        <f>IF(OR(C10="",E10=""),"",C10/E10)</f>
        <v/>
      </c>
      <c r="G10" s="13" t="n"/>
      <c r="H10" s="12">
        <f>IF(OR(F10="",G10=""),"",F10*G10)</f>
        <v/>
      </c>
      <c r="J10" s="14" t="inlineStr">
        <is>
          <t>Costo real = precio de compra ÷ rendimiento.</t>
        </is>
      </c>
    </row>
    <row r="11">
      <c r="A11" s="4" t="n"/>
      <c r="B11" s="4" t="n"/>
      <c r="C11" s="9" t="n"/>
      <c r="D11" s="10" t="n"/>
      <c r="E11" s="11">
        <f>IF(A11="","",1-D11)</f>
        <v/>
      </c>
      <c r="F11" s="12">
        <f>IF(OR(C11="",E11=""),"",C11/E11)</f>
        <v/>
      </c>
      <c r="G11" s="13" t="n"/>
      <c r="H11" s="12">
        <f>IF(OR(F11="",G11=""),"",F11*G11)</f>
        <v/>
      </c>
      <c r="J11" s="14" t="inlineStr">
        <is>
          <t>Cantidad en la misma unidad que el precio: 200 g = 0,200 kg.</t>
        </is>
      </c>
    </row>
    <row r="12">
      <c r="A12" s="4" t="n"/>
      <c r="B12" s="4" t="n"/>
      <c r="C12" s="9" t="n"/>
      <c r="D12" s="10" t="n"/>
      <c r="E12" s="11">
        <f>IF(A12="","",1-D12)</f>
        <v/>
      </c>
      <c r="F12" s="12">
        <f>IF(OR(C12="",E12=""),"",C12/E12)</f>
        <v/>
      </c>
      <c r="G12" s="13" t="n"/>
      <c r="H12" s="12">
        <f>IF(OR(F12="",G12=""),"",F12*G12)</f>
        <v/>
      </c>
      <c r="J12" s="14" t="inlineStr">
        <is>
          <t>Cómo medir la merma: pesá antes y después de limpiar.</t>
        </is>
      </c>
    </row>
    <row r="13">
      <c r="A13" s="4" t="n"/>
      <c r="B13" s="4" t="n"/>
      <c r="C13" s="9" t="n"/>
      <c r="D13" s="10" t="n"/>
      <c r="E13" s="11">
        <f>IF(A13="","",1-D13)</f>
        <v/>
      </c>
      <c r="F13" s="12">
        <f>IF(OR(C13="",E13=""),"",C13/E13)</f>
        <v/>
      </c>
      <c r="G13" s="13" t="n"/>
      <c r="H13" s="12">
        <f>IF(OR(F13="",G13=""),"",F13*G13)</f>
        <v/>
      </c>
      <c r="J13" s="14" t="inlineStr">
        <is>
          <t>Merma % = (peso comprado − peso limpio) ÷ peso comprado.</t>
        </is>
      </c>
    </row>
    <row r="14">
      <c r="A14" s="4" t="n"/>
      <c r="B14" s="4" t="n"/>
      <c r="C14" s="9" t="n"/>
      <c r="D14" s="10" t="n"/>
      <c r="E14" s="11">
        <f>IF(A14="","",1-D14)</f>
        <v/>
      </c>
      <c r="F14" s="12">
        <f>IF(OR(C14="",E14=""),"",C14/E14)</f>
        <v/>
      </c>
      <c r="G14" s="13" t="n"/>
      <c r="H14" s="12">
        <f>IF(OR(F14="",G14=""),"",F14*G14)</f>
        <v/>
      </c>
    </row>
    <row r="15">
      <c r="A15" s="4" t="n"/>
      <c r="B15" s="4" t="n"/>
      <c r="C15" s="9" t="n"/>
      <c r="D15" s="10" t="n"/>
      <c r="E15" s="11">
        <f>IF(A15="","",1-D15)</f>
        <v/>
      </c>
      <c r="F15" s="12">
        <f>IF(OR(C15="",E15=""),"",C15/E15)</f>
        <v/>
      </c>
      <c r="G15" s="13" t="n"/>
      <c r="H15" s="12">
        <f>IF(OR(F15="",G15=""),"",F15*G15)</f>
        <v/>
      </c>
    </row>
    <row r="16">
      <c r="A16" s="4" t="n"/>
      <c r="B16" s="4" t="n"/>
      <c r="C16" s="9" t="n"/>
      <c r="D16" s="10" t="n"/>
      <c r="E16" s="11">
        <f>IF(A16="","",1-D16)</f>
        <v/>
      </c>
      <c r="F16" s="12">
        <f>IF(OR(C16="",E16=""),"",C16/E16)</f>
        <v/>
      </c>
      <c r="G16" s="13" t="n"/>
      <c r="H16" s="12">
        <f>IF(OR(F16="",G16=""),"",F16*G16)</f>
        <v/>
      </c>
    </row>
    <row r="17">
      <c r="A17" s="4" t="n"/>
      <c r="B17" s="4" t="n"/>
      <c r="C17" s="9" t="n"/>
      <c r="D17" s="10" t="n"/>
      <c r="E17" s="11">
        <f>IF(A17="","",1-D17)</f>
        <v/>
      </c>
      <c r="F17" s="12">
        <f>IF(OR(C17="",E17=""),"",C17/E17)</f>
        <v/>
      </c>
      <c r="G17" s="13" t="n"/>
      <c r="H17" s="12">
        <f>IF(OR(F17="",G17=""),"",F17*G17)</f>
        <v/>
      </c>
    </row>
    <row r="18">
      <c r="A18" s="4" t="n"/>
      <c r="B18" s="4" t="n"/>
      <c r="C18" s="9" t="n"/>
      <c r="D18" s="10" t="n"/>
      <c r="E18" s="11">
        <f>IF(A18="","",1-D18)</f>
        <v/>
      </c>
      <c r="F18" s="12">
        <f>IF(OR(C18="",E18=""),"",C18/E18)</f>
        <v/>
      </c>
      <c r="G18" s="13" t="n"/>
      <c r="H18" s="12">
        <f>IF(OR(F18="",G18=""),"",F18*G18)</f>
        <v/>
      </c>
    </row>
    <row r="20">
      <c r="A20" s="15" t="inlineStr">
        <is>
          <t>Subtotal ingredientes</t>
        </is>
      </c>
      <c r="B20" s="16" t="n"/>
      <c r="C20" s="16" t="n"/>
      <c r="D20" s="16" t="n"/>
      <c r="E20" s="16" t="n"/>
      <c r="F20" s="16" t="n"/>
      <c r="G20" s="16" t="n"/>
      <c r="H20" s="17">
        <f>SUM(H7:H18)</f>
        <v/>
      </c>
    </row>
    <row r="21">
      <c r="A21" s="15" t="inlineStr">
        <is>
          <t>Varios: sal, condimentos, aceite (% del subtotal)</t>
        </is>
      </c>
      <c r="B21" s="16" t="n"/>
      <c r="C21" s="16" t="n"/>
      <c r="D21" s="16" t="n"/>
      <c r="E21" s="16" t="n"/>
      <c r="F21" s="16" t="n"/>
      <c r="G21" s="18" t="n">
        <v>0.05</v>
      </c>
      <c r="H21" s="17">
        <f>H20*G21</f>
        <v/>
      </c>
    </row>
    <row r="22">
      <c r="A22" s="15" t="inlineStr">
        <is>
          <t>Costo de la receta</t>
        </is>
      </c>
      <c r="B22" s="16" t="n"/>
      <c r="C22" s="16" t="n"/>
      <c r="D22" s="16" t="n"/>
      <c r="E22" s="16" t="n"/>
      <c r="F22" s="16" t="n"/>
      <c r="G22" s="16" t="n"/>
      <c r="H22" s="17">
        <f>H20+H21</f>
        <v/>
      </c>
    </row>
    <row r="23">
      <c r="A23" s="19" t="inlineStr">
        <is>
          <t>COSTO POR PORCIÓN</t>
        </is>
      </c>
      <c r="B23" s="20" t="n"/>
      <c r="C23" s="20" t="n"/>
      <c r="D23" s="20" t="n"/>
      <c r="E23" s="20" t="n"/>
      <c r="F23" s="20" t="n"/>
      <c r="G23" s="20" t="n"/>
      <c r="H23" s="21">
        <f>IF(F4&gt;0,H22/F4,"")</f>
        <v/>
      </c>
    </row>
    <row r="25">
      <c r="A25" s="8" t="inlineStr">
        <is>
          <t>PRECIO Y MARGEN</t>
        </is>
      </c>
    </row>
    <row r="26">
      <c r="A26" s="22" t="inlineStr">
        <is>
          <t>Precio de carta (con IVA)</t>
        </is>
      </c>
      <c r="B26" s="23" t="n"/>
      <c r="C26" s="14" t="inlineStr">
        <is>
          <t>Lo que figura en la carta.</t>
        </is>
      </c>
    </row>
    <row r="27">
      <c r="A27" s="22" t="inlineStr">
        <is>
          <t>¿Sos responsable inscripto? (SI / NO)</t>
        </is>
      </c>
      <c r="B27" s="24" t="inlineStr">
        <is>
          <t>SI</t>
        </is>
      </c>
      <c r="C27" s="14" t="inlineStr">
        <is>
          <t>Si sos monotributista poné NO: el precio no se divide por 1,21.</t>
        </is>
      </c>
    </row>
    <row r="28">
      <c r="A28" s="22" t="inlineStr">
        <is>
          <t>Precio sin IVA</t>
        </is>
      </c>
      <c r="B28" s="25">
        <f>IF(B26="","",IF(UPPER(B27)="SI",B26/1.21,B26))</f>
        <v/>
      </c>
      <c r="C28" s="14" t="inlineStr">
        <is>
          <t>Precio de carta ÷ 1,21 si sos responsable inscripto.</t>
        </is>
      </c>
    </row>
    <row r="29">
      <c r="A29" s="22" t="inlineStr">
        <is>
          <t>Food cost real</t>
        </is>
      </c>
      <c r="B29" s="26">
        <f>IF(OR(B28="",H23=""),"",H23/B28)</f>
        <v/>
      </c>
      <c r="C29" s="14" t="inlineStr">
        <is>
          <t>Qué parte del precio se va en materia prima.</t>
        </is>
      </c>
    </row>
    <row r="30">
      <c r="A30" s="22" t="inlineStr">
        <is>
          <t>Margen de contribución</t>
        </is>
      </c>
      <c r="B30" s="25">
        <f>IF(OR(B28="",H23=""),"",B28-H23)</f>
        <v/>
      </c>
      <c r="C30" s="14" t="inlineStr">
        <is>
          <t>Lo que deja cada plato para pagar gastos y ganar.</t>
        </is>
      </c>
    </row>
    <row r="31">
      <c r="A31" s="22" t="inlineStr">
        <is>
          <t>Food cost objetivo</t>
        </is>
      </c>
      <c r="B31" s="27" t="n">
        <v>0.3</v>
      </c>
      <c r="C31" s="14" t="inlineStr">
        <is>
          <t>En gastronomía se suele usar entre 25 % y 35 %.</t>
        </is>
      </c>
    </row>
    <row r="32">
      <c r="A32" s="22" t="inlineStr">
        <is>
          <t>Precio sugerido (con IVA si corresponde)</t>
        </is>
      </c>
      <c r="B32" s="25">
        <f>IF(H23="","",H23/B31*IF(UPPER(B27)="SI",1.21,1))</f>
        <v/>
      </c>
      <c r="C32" s="14" t="inlineStr">
        <is>
          <t>Costo por porción ÷ food cost objetivo.</t>
        </is>
      </c>
    </row>
    <row r="34">
      <c r="A34" s="8" t="inlineStr">
        <is>
          <t>PREPARACIÓN</t>
        </is>
      </c>
    </row>
    <row r="35">
      <c r="A35" s="29" t="inlineStr">
        <is>
          <t>1.</t>
        </is>
      </c>
    </row>
    <row r="36">
      <c r="A36" s="29" t="inlineStr">
        <is>
          <t>2.</t>
        </is>
      </c>
    </row>
    <row r="37">
      <c r="A37" s="29" t="inlineStr">
        <is>
          <t>3.</t>
        </is>
      </c>
    </row>
    <row r="38">
      <c r="A38" s="29" t="inlineStr">
        <is>
          <t>4.</t>
        </is>
      </c>
    </row>
    <row r="39">
      <c r="A39" s="29" t="inlineStr">
        <is>
          <t>5.</t>
        </is>
      </c>
    </row>
  </sheetData>
  <mergeCells count="6">
    <mergeCell ref="A39:H39"/>
    <mergeCell ref="A35:H35"/>
    <mergeCell ref="A38:H38"/>
    <mergeCell ref="A36:H36"/>
    <mergeCell ref="A37:H37"/>
    <mergeCell ref="B4:C4"/>
  </mergeCells>
  <conditionalFormatting sqref="B29">
    <cfRule type="expression" priority="1" dxfId="0">
      <formula>AND(B29&lt;&gt;"",B29&lt;=B31)</formula>
    </cfRule>
    <cfRule type="expression" priority="2" dxfId="1">
      <formula>AND(B29&lt;&gt;"",B29&gt;B31)</formula>
    </cfRule>
  </conditionalFormatting>
  <dataValidations count="2">
    <dataValidation sqref="D7:D18" showDropDown="0" showInputMessage="0" showErrorMessage="0" allowBlank="1" errorTitle="Merma" error="La merma va entre 0 % y 95 %." type="decimal" operator="between">
      <formula1>0</formula1>
      <formula2>0.95</formula2>
    </dataValidation>
    <dataValidation sqref="B27" showDropDown="0" showInputMessage="0" showErrorMessage="0" allowBlank="0" type="list">
      <formula1>"SI,NO"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USAR ESTA FICHA</t>
        </is>
      </c>
    </row>
    <row r="2">
      <c r="A2" t="inlineStr"/>
    </row>
    <row r="3">
      <c r="A3" t="inlineStr">
        <is>
          <t>1. Duplicá la hoja "Plato nuevo" para cada plato (clic derecho en la pestaña &gt; Mover o copiar &gt; Crear una copia).</t>
        </is>
      </c>
    </row>
    <row r="4">
      <c r="A4" t="inlineStr">
        <is>
          <t>2. Cargá solo las celdas azules: ingrediente, unidad, precio de compra, merma, cantidad por porción.</t>
        </is>
      </c>
    </row>
    <row r="5">
      <c r="A5" t="inlineStr">
        <is>
          <t>3. Merma: pesá el insumo como llega y después de limpiarlo. Merma % = (peso comprado − peso limpio) ÷ peso comprado.</t>
        </is>
      </c>
    </row>
    <row r="6">
      <c r="A6" t="inlineStr">
        <is>
          <t>4. La cantidad va en la misma unidad que el precio: si el precio es por kilo, 200 g se escribe 0,200.</t>
        </is>
      </c>
    </row>
    <row r="7">
      <c r="A7" t="inlineStr">
        <is>
          <t>5. Poné tu precio de carta, si sos responsable inscripto (SI/NO) y tu food cost objetivo.</t>
        </is>
      </c>
    </row>
    <row r="8">
      <c r="A8" t="inlineStr">
        <is>
          <t>6. El food cost se pinta de verde si está dentro del objetivo y de rojo si se pasa.</t>
        </is>
      </c>
    </row>
    <row r="9">
      <c r="A9" t="inlineStr">
        <is>
          <t>7. Actualizá los precios de compra cuando un proveedor aumente: todo se recalcula solo.</t>
        </is>
      </c>
    </row>
    <row r="10">
      <c r="A10" t="inlineStr"/>
    </row>
    <row r="11">
      <c r="A11" s="8" t="inlineStr">
        <is>
          <t>Guía completa con el paso a paso: ordenfinanciero.com/guias/costo-de-un-plato</t>
        </is>
      </c>
    </row>
    <row r="12">
      <c r="A12" s="14" t="inlineStr">
        <is>
          <t>¿Querés saber por dónde se te escapa la plata? Hacé el diagnóstico gratis en ordenfinanciero.com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2026-09-15T01:55:26Z</dcterms:created>
  <dcterms:modified xmlns:dcterms="http://purl.org/dc/terms/" xmlns:xsi="http://www.w3.org/2001/XMLSchema-instance" xsi:type="dcterms:W3CDTF">2026-09-15T01:55:26Z</dcterms:modified>
</cp:coreProperties>
</file>