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usuario\AppData\Local\Temp\claude\C--Users-usuario-Desktop-orden-financiero\2c449120-9e06-4d90-bcdb-30c63ab927f5\scratchpad\revision-calc\"/>
    </mc:Choice>
  </mc:AlternateContent>
  <xr:revisionPtr revIDLastSave="0" documentId="13_ncr:1_{9DB0C8AB-B373-4EBE-BC31-C8C959F4BCB1}" xr6:coauthVersionLast="47" xr6:coauthVersionMax="47" xr10:uidLastSave="{00000000-0000-0000-0000-000000000000}"/>
  <bookViews>
    <workbookView xWindow="44205" yWindow="5760" windowWidth="28800" windowHeight="15345" xr2:uid="{00000000-000D-0000-FFFF-FFFF00000000}"/>
  </bookViews>
  <sheets>
    <sheet name="INSTRUCCIONES" sheetId="1" r:id="rId1"/>
    <sheet name="Insumos " sheetId="2" r:id="rId2"/>
    <sheet name="Recetas" sheetId="3" r:id="rId3"/>
    <sheet name="Margenes por producto " sheetId="4" r:id="rId4"/>
    <sheet name="Mermas por producto" sheetId="5" r:id="rId5"/>
    <sheet name="Control de desperdicio " sheetId="6" r:id="rId6"/>
  </sheets>
  <definedNames>
    <definedName name="_xlnm._FilterDatabase" localSheetId="5" hidden="1">'Control de desperdicio '!$A$1:$G$387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7" i="6" l="1"/>
  <c r="F387" i="6" s="1"/>
  <c r="B387" i="6"/>
  <c r="E386" i="6"/>
  <c r="F386" i="6" s="1"/>
  <c r="B386" i="6"/>
  <c r="E385" i="6"/>
  <c r="F385" i="6" s="1"/>
  <c r="B385" i="6"/>
  <c r="E384" i="6"/>
  <c r="F384" i="6" s="1"/>
  <c r="B384" i="6"/>
  <c r="F383" i="6"/>
  <c r="E383" i="6"/>
  <c r="B383" i="6"/>
  <c r="E382" i="6"/>
  <c r="F382" i="6" s="1"/>
  <c r="B382" i="6"/>
  <c r="E381" i="6"/>
  <c r="F381" i="6" s="1"/>
  <c r="B381" i="6"/>
  <c r="E380" i="6"/>
  <c r="F380" i="6" s="1"/>
  <c r="B380" i="6"/>
  <c r="E379" i="6"/>
  <c r="F379" i="6" s="1"/>
  <c r="B379" i="6"/>
  <c r="E378" i="6"/>
  <c r="F378" i="6" s="1"/>
  <c r="B378" i="6"/>
  <c r="F377" i="6"/>
  <c r="E377" i="6"/>
  <c r="B377" i="6"/>
  <c r="F376" i="6"/>
  <c r="E376" i="6"/>
  <c r="B376" i="6"/>
  <c r="F375" i="6"/>
  <c r="E375" i="6"/>
  <c r="B375" i="6"/>
  <c r="E374" i="6"/>
  <c r="F374" i="6" s="1"/>
  <c r="B374" i="6"/>
  <c r="E373" i="6"/>
  <c r="F373" i="6" s="1"/>
  <c r="B373" i="6"/>
  <c r="E372" i="6"/>
  <c r="F372" i="6" s="1"/>
  <c r="B372" i="6"/>
  <c r="E371" i="6"/>
  <c r="F371" i="6" s="1"/>
  <c r="B371" i="6"/>
  <c r="E370" i="6"/>
  <c r="F370" i="6" s="1"/>
  <c r="B370" i="6"/>
  <c r="E369" i="6"/>
  <c r="F369" i="6" s="1"/>
  <c r="B369" i="6"/>
  <c r="E368" i="6"/>
  <c r="F368" i="6" s="1"/>
  <c r="B368" i="6"/>
  <c r="F367" i="6"/>
  <c r="E367" i="6"/>
  <c r="B367" i="6"/>
  <c r="E366" i="6"/>
  <c r="F366" i="6" s="1"/>
  <c r="B366" i="6"/>
  <c r="E365" i="6"/>
  <c r="F365" i="6" s="1"/>
  <c r="B365" i="6"/>
  <c r="E364" i="6"/>
  <c r="F364" i="6" s="1"/>
  <c r="B364" i="6"/>
  <c r="E363" i="6"/>
  <c r="F363" i="6" s="1"/>
  <c r="B363" i="6"/>
  <c r="E362" i="6"/>
  <c r="F362" i="6" s="1"/>
  <c r="B362" i="6"/>
  <c r="F361" i="6"/>
  <c r="E361" i="6"/>
  <c r="B361" i="6"/>
  <c r="E360" i="6"/>
  <c r="F360" i="6" s="1"/>
  <c r="B360" i="6"/>
  <c r="F359" i="6"/>
  <c r="E359" i="6"/>
  <c r="B359" i="6"/>
  <c r="E358" i="6"/>
  <c r="F358" i="6" s="1"/>
  <c r="B358" i="6"/>
  <c r="E357" i="6"/>
  <c r="F357" i="6" s="1"/>
  <c r="B357" i="6"/>
  <c r="E356" i="6"/>
  <c r="F356" i="6" s="1"/>
  <c r="B356" i="6"/>
  <c r="E355" i="6"/>
  <c r="F355" i="6" s="1"/>
  <c r="B355" i="6"/>
  <c r="E354" i="6"/>
  <c r="F354" i="6" s="1"/>
  <c r="B354" i="6"/>
  <c r="E353" i="6"/>
  <c r="F353" i="6" s="1"/>
  <c r="B353" i="6"/>
  <c r="E352" i="6"/>
  <c r="F352" i="6" s="1"/>
  <c r="B352" i="6"/>
  <c r="F351" i="6"/>
  <c r="E351" i="6"/>
  <c r="B351" i="6"/>
  <c r="E350" i="6"/>
  <c r="F350" i="6" s="1"/>
  <c r="B350" i="6"/>
  <c r="E349" i="6"/>
  <c r="F349" i="6" s="1"/>
  <c r="B349" i="6"/>
  <c r="E348" i="6"/>
  <c r="F348" i="6" s="1"/>
  <c r="B348" i="6"/>
  <c r="E347" i="6"/>
  <c r="F347" i="6" s="1"/>
  <c r="B347" i="6"/>
  <c r="E346" i="6"/>
  <c r="F346" i="6" s="1"/>
  <c r="B346" i="6"/>
  <c r="F345" i="6"/>
  <c r="E345" i="6"/>
  <c r="B345" i="6"/>
  <c r="E344" i="6"/>
  <c r="F344" i="6" s="1"/>
  <c r="B344" i="6"/>
  <c r="F343" i="6"/>
  <c r="E343" i="6"/>
  <c r="B343" i="6"/>
  <c r="E342" i="6"/>
  <c r="F342" i="6" s="1"/>
  <c r="B342" i="6"/>
  <c r="E341" i="6"/>
  <c r="F341" i="6" s="1"/>
  <c r="B341" i="6"/>
  <c r="E340" i="6"/>
  <c r="F340" i="6" s="1"/>
  <c r="B340" i="6"/>
  <c r="E339" i="6"/>
  <c r="F339" i="6" s="1"/>
  <c r="B339" i="6"/>
  <c r="E338" i="6"/>
  <c r="F338" i="6" s="1"/>
  <c r="B338" i="6"/>
  <c r="E337" i="6"/>
  <c r="F337" i="6" s="1"/>
  <c r="B337" i="6"/>
  <c r="E336" i="6"/>
  <c r="F336" i="6" s="1"/>
  <c r="B336" i="6"/>
  <c r="F335" i="6"/>
  <c r="E335" i="6"/>
  <c r="B335" i="6"/>
  <c r="E334" i="6"/>
  <c r="F334" i="6" s="1"/>
  <c r="B334" i="6"/>
  <c r="E333" i="6"/>
  <c r="F333" i="6" s="1"/>
  <c r="B333" i="6"/>
  <c r="E332" i="6"/>
  <c r="F332" i="6" s="1"/>
  <c r="B332" i="6"/>
  <c r="E331" i="6"/>
  <c r="F331" i="6" s="1"/>
  <c r="B331" i="6"/>
  <c r="E330" i="6"/>
  <c r="F330" i="6" s="1"/>
  <c r="B330" i="6"/>
  <c r="F329" i="6"/>
  <c r="E329" i="6"/>
  <c r="B329" i="6"/>
  <c r="E328" i="6"/>
  <c r="F328" i="6" s="1"/>
  <c r="B328" i="6"/>
  <c r="F327" i="6"/>
  <c r="E327" i="6"/>
  <c r="B327" i="6"/>
  <c r="E326" i="6"/>
  <c r="F326" i="6" s="1"/>
  <c r="B326" i="6"/>
  <c r="E325" i="6"/>
  <c r="F325" i="6" s="1"/>
  <c r="B325" i="6"/>
  <c r="E324" i="6"/>
  <c r="F324" i="6" s="1"/>
  <c r="B324" i="6"/>
  <c r="E323" i="6"/>
  <c r="F323" i="6" s="1"/>
  <c r="B323" i="6"/>
  <c r="E322" i="6"/>
  <c r="F322" i="6" s="1"/>
  <c r="B322" i="6"/>
  <c r="E321" i="6"/>
  <c r="F321" i="6" s="1"/>
  <c r="B321" i="6"/>
  <c r="E320" i="6"/>
  <c r="F320" i="6" s="1"/>
  <c r="B320" i="6"/>
  <c r="F319" i="6"/>
  <c r="E319" i="6"/>
  <c r="B319" i="6"/>
  <c r="E318" i="6"/>
  <c r="F318" i="6" s="1"/>
  <c r="B318" i="6"/>
  <c r="E317" i="6"/>
  <c r="F317" i="6" s="1"/>
  <c r="B317" i="6"/>
  <c r="E316" i="6"/>
  <c r="F316" i="6" s="1"/>
  <c r="B316" i="6"/>
  <c r="E315" i="6"/>
  <c r="F315" i="6" s="1"/>
  <c r="B315" i="6"/>
  <c r="E314" i="6"/>
  <c r="F314" i="6" s="1"/>
  <c r="B314" i="6"/>
  <c r="F313" i="6"/>
  <c r="E313" i="6"/>
  <c r="B313" i="6"/>
  <c r="E312" i="6"/>
  <c r="F312" i="6" s="1"/>
  <c r="B312" i="6"/>
  <c r="F311" i="6"/>
  <c r="E311" i="6"/>
  <c r="B311" i="6"/>
  <c r="E310" i="6"/>
  <c r="F310" i="6" s="1"/>
  <c r="B310" i="6"/>
  <c r="E309" i="6"/>
  <c r="F309" i="6" s="1"/>
  <c r="B309" i="6"/>
  <c r="E308" i="6"/>
  <c r="F308" i="6" s="1"/>
  <c r="B308" i="6"/>
  <c r="E307" i="6"/>
  <c r="F307" i="6" s="1"/>
  <c r="B307" i="6"/>
  <c r="E306" i="6"/>
  <c r="F306" i="6" s="1"/>
  <c r="B306" i="6"/>
  <c r="E305" i="6"/>
  <c r="F305" i="6" s="1"/>
  <c r="B305" i="6"/>
  <c r="E304" i="6"/>
  <c r="F304" i="6" s="1"/>
  <c r="B304" i="6"/>
  <c r="F303" i="6"/>
  <c r="E303" i="6"/>
  <c r="B303" i="6"/>
  <c r="E302" i="6"/>
  <c r="F302" i="6" s="1"/>
  <c r="B302" i="6"/>
  <c r="E301" i="6"/>
  <c r="F301" i="6" s="1"/>
  <c r="B301" i="6"/>
  <c r="E300" i="6"/>
  <c r="F300" i="6" s="1"/>
  <c r="B300" i="6"/>
  <c r="E299" i="6"/>
  <c r="F299" i="6" s="1"/>
  <c r="B299" i="6"/>
  <c r="E298" i="6"/>
  <c r="F298" i="6" s="1"/>
  <c r="B298" i="6"/>
  <c r="F297" i="6"/>
  <c r="E297" i="6"/>
  <c r="B297" i="6"/>
  <c r="E296" i="6"/>
  <c r="F296" i="6" s="1"/>
  <c r="B296" i="6"/>
  <c r="F295" i="6"/>
  <c r="E295" i="6"/>
  <c r="B295" i="6"/>
  <c r="E294" i="6"/>
  <c r="F294" i="6" s="1"/>
  <c r="B294" i="6"/>
  <c r="E293" i="6"/>
  <c r="F293" i="6" s="1"/>
  <c r="B293" i="6"/>
  <c r="E292" i="6"/>
  <c r="F292" i="6" s="1"/>
  <c r="B292" i="6"/>
  <c r="E291" i="6"/>
  <c r="F291" i="6" s="1"/>
  <c r="B291" i="6"/>
  <c r="E290" i="6"/>
  <c r="F290" i="6" s="1"/>
  <c r="B290" i="6"/>
  <c r="E289" i="6"/>
  <c r="F289" i="6" s="1"/>
  <c r="B289" i="6"/>
  <c r="E288" i="6"/>
  <c r="F288" i="6" s="1"/>
  <c r="B288" i="6"/>
  <c r="F287" i="6"/>
  <c r="E287" i="6"/>
  <c r="B287" i="6"/>
  <c r="E286" i="6"/>
  <c r="F286" i="6" s="1"/>
  <c r="B286" i="6"/>
  <c r="E285" i="6"/>
  <c r="F285" i="6" s="1"/>
  <c r="B285" i="6"/>
  <c r="E284" i="6"/>
  <c r="F284" i="6" s="1"/>
  <c r="B284" i="6"/>
  <c r="E283" i="6"/>
  <c r="F283" i="6" s="1"/>
  <c r="B283" i="6"/>
  <c r="E282" i="6"/>
  <c r="F282" i="6" s="1"/>
  <c r="B282" i="6"/>
  <c r="F281" i="6"/>
  <c r="E281" i="6"/>
  <c r="B281" i="6"/>
  <c r="E280" i="6"/>
  <c r="F280" i="6" s="1"/>
  <c r="B280" i="6"/>
  <c r="F279" i="6"/>
  <c r="E279" i="6"/>
  <c r="B279" i="6"/>
  <c r="E278" i="6"/>
  <c r="F278" i="6" s="1"/>
  <c r="B278" i="6"/>
  <c r="E277" i="6"/>
  <c r="F277" i="6" s="1"/>
  <c r="B277" i="6"/>
  <c r="E276" i="6"/>
  <c r="F276" i="6" s="1"/>
  <c r="B276" i="6"/>
  <c r="E275" i="6"/>
  <c r="F275" i="6" s="1"/>
  <c r="B275" i="6"/>
  <c r="E274" i="6"/>
  <c r="F274" i="6" s="1"/>
  <c r="B274" i="6"/>
  <c r="E273" i="6"/>
  <c r="F273" i="6" s="1"/>
  <c r="B273" i="6"/>
  <c r="E272" i="6"/>
  <c r="F272" i="6" s="1"/>
  <c r="B272" i="6"/>
  <c r="F271" i="6"/>
  <c r="E271" i="6"/>
  <c r="B271" i="6"/>
  <c r="E270" i="6"/>
  <c r="F270" i="6" s="1"/>
  <c r="B270" i="6"/>
  <c r="E269" i="6"/>
  <c r="F269" i="6" s="1"/>
  <c r="B269" i="6"/>
  <c r="E268" i="6"/>
  <c r="F268" i="6" s="1"/>
  <c r="B268" i="6"/>
  <c r="E267" i="6"/>
  <c r="F267" i="6" s="1"/>
  <c r="B267" i="6"/>
  <c r="E266" i="6"/>
  <c r="F266" i="6" s="1"/>
  <c r="B266" i="6"/>
  <c r="F265" i="6"/>
  <c r="E265" i="6"/>
  <c r="B265" i="6"/>
  <c r="E264" i="6"/>
  <c r="F264" i="6" s="1"/>
  <c r="B264" i="6"/>
  <c r="F263" i="6"/>
  <c r="E263" i="6"/>
  <c r="B263" i="6"/>
  <c r="E262" i="6"/>
  <c r="F262" i="6" s="1"/>
  <c r="B262" i="6"/>
  <c r="E261" i="6"/>
  <c r="F261" i="6" s="1"/>
  <c r="B261" i="6"/>
  <c r="E260" i="6"/>
  <c r="F260" i="6" s="1"/>
  <c r="B260" i="6"/>
  <c r="E259" i="6"/>
  <c r="F259" i="6" s="1"/>
  <c r="B259" i="6"/>
  <c r="E258" i="6"/>
  <c r="F258" i="6" s="1"/>
  <c r="B258" i="6"/>
  <c r="E257" i="6"/>
  <c r="F257" i="6" s="1"/>
  <c r="B257" i="6"/>
  <c r="F256" i="6"/>
  <c r="E256" i="6"/>
  <c r="B256" i="6"/>
  <c r="E255" i="6"/>
  <c r="F255" i="6" s="1"/>
  <c r="B255" i="6"/>
  <c r="E254" i="6"/>
  <c r="F254" i="6" s="1"/>
  <c r="B254" i="6"/>
  <c r="E253" i="6"/>
  <c r="F253" i="6" s="1"/>
  <c r="B253" i="6"/>
  <c r="E252" i="6"/>
  <c r="F252" i="6" s="1"/>
  <c r="B252" i="6"/>
  <c r="E251" i="6"/>
  <c r="F251" i="6" s="1"/>
  <c r="B251" i="6"/>
  <c r="E250" i="6"/>
  <c r="F250" i="6" s="1"/>
  <c r="B250" i="6"/>
  <c r="F249" i="6"/>
  <c r="E249" i="6"/>
  <c r="B249" i="6"/>
  <c r="E248" i="6"/>
  <c r="F248" i="6" s="1"/>
  <c r="B248" i="6"/>
  <c r="E247" i="6"/>
  <c r="F247" i="6" s="1"/>
  <c r="B247" i="6"/>
  <c r="E246" i="6"/>
  <c r="F246" i="6" s="1"/>
  <c r="B246" i="6"/>
  <c r="E245" i="6"/>
  <c r="F245" i="6" s="1"/>
  <c r="B245" i="6"/>
  <c r="E244" i="6"/>
  <c r="F244" i="6" s="1"/>
  <c r="B244" i="6"/>
  <c r="E243" i="6"/>
  <c r="F243" i="6" s="1"/>
  <c r="B243" i="6"/>
  <c r="E242" i="6"/>
  <c r="F242" i="6" s="1"/>
  <c r="B242" i="6"/>
  <c r="E241" i="6"/>
  <c r="F241" i="6" s="1"/>
  <c r="B241" i="6"/>
  <c r="E240" i="6"/>
  <c r="F240" i="6" s="1"/>
  <c r="B240" i="6"/>
  <c r="E239" i="6"/>
  <c r="F239" i="6" s="1"/>
  <c r="B239" i="6"/>
  <c r="E238" i="6"/>
  <c r="F238" i="6" s="1"/>
  <c r="B238" i="6"/>
  <c r="E237" i="6"/>
  <c r="F237" i="6" s="1"/>
  <c r="B237" i="6"/>
  <c r="E236" i="6"/>
  <c r="F236" i="6" s="1"/>
  <c r="B236" i="6"/>
  <c r="E235" i="6"/>
  <c r="F235" i="6" s="1"/>
  <c r="B235" i="6"/>
  <c r="E234" i="6"/>
  <c r="F234" i="6" s="1"/>
  <c r="B234" i="6"/>
  <c r="E233" i="6"/>
  <c r="F233" i="6" s="1"/>
  <c r="B233" i="6"/>
  <c r="E232" i="6"/>
  <c r="F232" i="6" s="1"/>
  <c r="B232" i="6"/>
  <c r="F231" i="6"/>
  <c r="E231" i="6"/>
  <c r="B231" i="6"/>
  <c r="E230" i="6"/>
  <c r="F230" i="6" s="1"/>
  <c r="B230" i="6"/>
  <c r="E229" i="6"/>
  <c r="F229" i="6" s="1"/>
  <c r="B229" i="6"/>
  <c r="E228" i="6"/>
  <c r="F228" i="6" s="1"/>
  <c r="B228" i="6"/>
  <c r="E227" i="6"/>
  <c r="F227" i="6" s="1"/>
  <c r="B227" i="6"/>
  <c r="E226" i="6"/>
  <c r="F226" i="6" s="1"/>
  <c r="B226" i="6"/>
  <c r="E225" i="6"/>
  <c r="F225" i="6" s="1"/>
  <c r="B225" i="6"/>
  <c r="F224" i="6"/>
  <c r="E224" i="6"/>
  <c r="B224" i="6"/>
  <c r="E223" i="6"/>
  <c r="F223" i="6" s="1"/>
  <c r="B223" i="6"/>
  <c r="E222" i="6"/>
  <c r="F222" i="6" s="1"/>
  <c r="B222" i="6"/>
  <c r="E221" i="6"/>
  <c r="F221" i="6" s="1"/>
  <c r="B221" i="6"/>
  <c r="E220" i="6"/>
  <c r="F220" i="6" s="1"/>
  <c r="B220" i="6"/>
  <c r="E219" i="6"/>
  <c r="F219" i="6" s="1"/>
  <c r="B219" i="6"/>
  <c r="E218" i="6"/>
  <c r="F218" i="6" s="1"/>
  <c r="B218" i="6"/>
  <c r="F217" i="6"/>
  <c r="E217" i="6"/>
  <c r="B217" i="6"/>
  <c r="E216" i="6"/>
  <c r="F216" i="6" s="1"/>
  <c r="B216" i="6"/>
  <c r="F215" i="6"/>
  <c r="E215" i="6"/>
  <c r="B215" i="6"/>
  <c r="E214" i="6"/>
  <c r="F214" i="6" s="1"/>
  <c r="B214" i="6"/>
  <c r="E213" i="6"/>
  <c r="F213" i="6" s="1"/>
  <c r="B213" i="6"/>
  <c r="E212" i="6"/>
  <c r="F212" i="6" s="1"/>
  <c r="B212" i="6"/>
  <c r="E211" i="6"/>
  <c r="F211" i="6" s="1"/>
  <c r="B211" i="6"/>
  <c r="E210" i="6"/>
  <c r="F210" i="6" s="1"/>
  <c r="B210" i="6"/>
  <c r="E209" i="6"/>
  <c r="F209" i="6" s="1"/>
  <c r="B209" i="6"/>
  <c r="F208" i="6"/>
  <c r="E208" i="6"/>
  <c r="B208" i="6"/>
  <c r="E207" i="6"/>
  <c r="F207" i="6" s="1"/>
  <c r="B207" i="6"/>
  <c r="E206" i="6"/>
  <c r="F206" i="6" s="1"/>
  <c r="B206" i="6"/>
  <c r="E205" i="6"/>
  <c r="F205" i="6" s="1"/>
  <c r="B205" i="6"/>
  <c r="E204" i="6"/>
  <c r="F204" i="6" s="1"/>
  <c r="B204" i="6"/>
  <c r="E203" i="6"/>
  <c r="F203" i="6" s="1"/>
  <c r="B203" i="6"/>
  <c r="E202" i="6"/>
  <c r="F202" i="6" s="1"/>
  <c r="B202" i="6"/>
  <c r="F201" i="6"/>
  <c r="E201" i="6"/>
  <c r="B201" i="6"/>
  <c r="E200" i="6"/>
  <c r="F200" i="6" s="1"/>
  <c r="B200" i="6"/>
  <c r="F199" i="6"/>
  <c r="E199" i="6"/>
  <c r="B199" i="6"/>
  <c r="E198" i="6"/>
  <c r="F198" i="6" s="1"/>
  <c r="B198" i="6"/>
  <c r="E197" i="6"/>
  <c r="F197" i="6" s="1"/>
  <c r="B197" i="6"/>
  <c r="E196" i="6"/>
  <c r="F196" i="6" s="1"/>
  <c r="B196" i="6"/>
  <c r="E195" i="6"/>
  <c r="F195" i="6" s="1"/>
  <c r="B195" i="6"/>
  <c r="E194" i="6"/>
  <c r="F194" i="6" s="1"/>
  <c r="B194" i="6"/>
  <c r="E193" i="6"/>
  <c r="F193" i="6" s="1"/>
  <c r="B193" i="6"/>
  <c r="F192" i="6"/>
  <c r="E192" i="6"/>
  <c r="B192" i="6"/>
  <c r="E191" i="6"/>
  <c r="F191" i="6" s="1"/>
  <c r="B191" i="6"/>
  <c r="E190" i="6"/>
  <c r="F190" i="6" s="1"/>
  <c r="B190" i="6"/>
  <c r="E189" i="6"/>
  <c r="F189" i="6" s="1"/>
  <c r="B189" i="6"/>
  <c r="E188" i="6"/>
  <c r="F188" i="6" s="1"/>
  <c r="B188" i="6"/>
  <c r="E187" i="6"/>
  <c r="F187" i="6" s="1"/>
  <c r="B187" i="6"/>
  <c r="E186" i="6"/>
  <c r="F186" i="6" s="1"/>
  <c r="B186" i="6"/>
  <c r="F185" i="6"/>
  <c r="E185" i="6"/>
  <c r="B185" i="6"/>
  <c r="E184" i="6"/>
  <c r="F184" i="6" s="1"/>
  <c r="B184" i="6"/>
  <c r="E183" i="6"/>
  <c r="F183" i="6" s="1"/>
  <c r="B183" i="6"/>
  <c r="E182" i="6"/>
  <c r="F182" i="6" s="1"/>
  <c r="B182" i="6"/>
  <c r="E181" i="6"/>
  <c r="F181" i="6" s="1"/>
  <c r="B181" i="6"/>
  <c r="E180" i="6"/>
  <c r="F180" i="6" s="1"/>
  <c r="B180" i="6"/>
  <c r="E179" i="6"/>
  <c r="F179" i="6" s="1"/>
  <c r="B179" i="6"/>
  <c r="E178" i="6"/>
  <c r="F178" i="6" s="1"/>
  <c r="B178" i="6"/>
  <c r="E177" i="6"/>
  <c r="F177" i="6" s="1"/>
  <c r="B177" i="6"/>
  <c r="E176" i="6"/>
  <c r="F176" i="6" s="1"/>
  <c r="B176" i="6"/>
  <c r="E175" i="6"/>
  <c r="F175" i="6" s="1"/>
  <c r="B175" i="6"/>
  <c r="E174" i="6"/>
  <c r="F174" i="6" s="1"/>
  <c r="B174" i="6"/>
  <c r="E173" i="6"/>
  <c r="F173" i="6" s="1"/>
  <c r="B173" i="6"/>
  <c r="E172" i="6"/>
  <c r="F172" i="6" s="1"/>
  <c r="B172" i="6"/>
  <c r="E171" i="6"/>
  <c r="F171" i="6" s="1"/>
  <c r="B171" i="6"/>
  <c r="E170" i="6"/>
  <c r="F170" i="6" s="1"/>
  <c r="B170" i="6"/>
  <c r="E169" i="6"/>
  <c r="F169" i="6" s="1"/>
  <c r="B169" i="6"/>
  <c r="E168" i="6"/>
  <c r="F168" i="6" s="1"/>
  <c r="B168" i="6"/>
  <c r="F167" i="6"/>
  <c r="E167" i="6"/>
  <c r="B167" i="6"/>
  <c r="E166" i="6"/>
  <c r="F166" i="6" s="1"/>
  <c r="B166" i="6"/>
  <c r="E165" i="6"/>
  <c r="F165" i="6" s="1"/>
  <c r="B165" i="6"/>
  <c r="E164" i="6"/>
  <c r="F164" i="6" s="1"/>
  <c r="B164" i="6"/>
  <c r="E163" i="6"/>
  <c r="F163" i="6" s="1"/>
  <c r="B163" i="6"/>
  <c r="E162" i="6"/>
  <c r="F162" i="6" s="1"/>
  <c r="B162" i="6"/>
  <c r="E161" i="6"/>
  <c r="F161" i="6" s="1"/>
  <c r="B161" i="6"/>
  <c r="F160" i="6"/>
  <c r="E160" i="6"/>
  <c r="B160" i="6"/>
  <c r="E159" i="6"/>
  <c r="F159" i="6" s="1"/>
  <c r="B159" i="6"/>
  <c r="E158" i="6"/>
  <c r="F158" i="6" s="1"/>
  <c r="B158" i="6"/>
  <c r="E157" i="6"/>
  <c r="F157" i="6" s="1"/>
  <c r="B157" i="6"/>
  <c r="E156" i="6"/>
  <c r="F156" i="6" s="1"/>
  <c r="B156" i="6"/>
  <c r="E155" i="6"/>
  <c r="F155" i="6" s="1"/>
  <c r="B155" i="6"/>
  <c r="E154" i="6"/>
  <c r="F154" i="6" s="1"/>
  <c r="B154" i="6"/>
  <c r="F153" i="6"/>
  <c r="E153" i="6"/>
  <c r="B153" i="6"/>
  <c r="E152" i="6"/>
  <c r="F152" i="6" s="1"/>
  <c r="B152" i="6"/>
  <c r="F151" i="6"/>
  <c r="E151" i="6"/>
  <c r="B151" i="6"/>
  <c r="E150" i="6"/>
  <c r="F150" i="6" s="1"/>
  <c r="B150" i="6"/>
  <c r="E149" i="6"/>
  <c r="F149" i="6" s="1"/>
  <c r="B149" i="6"/>
  <c r="E148" i="6"/>
  <c r="F148" i="6" s="1"/>
  <c r="B148" i="6"/>
  <c r="E147" i="6"/>
  <c r="F147" i="6" s="1"/>
  <c r="B147" i="6"/>
  <c r="E146" i="6"/>
  <c r="F146" i="6" s="1"/>
  <c r="B146" i="6"/>
  <c r="E145" i="6"/>
  <c r="F145" i="6" s="1"/>
  <c r="B145" i="6"/>
  <c r="F144" i="6"/>
  <c r="E144" i="6"/>
  <c r="B144" i="6"/>
  <c r="E143" i="6"/>
  <c r="F143" i="6" s="1"/>
  <c r="B143" i="6"/>
  <c r="E142" i="6"/>
  <c r="F142" i="6" s="1"/>
  <c r="B142" i="6"/>
  <c r="E141" i="6"/>
  <c r="F141" i="6" s="1"/>
  <c r="B141" i="6"/>
  <c r="E140" i="6"/>
  <c r="F140" i="6" s="1"/>
  <c r="B140" i="6"/>
  <c r="E139" i="6"/>
  <c r="F139" i="6" s="1"/>
  <c r="B139" i="6"/>
  <c r="E138" i="6"/>
  <c r="F138" i="6" s="1"/>
  <c r="B138" i="6"/>
  <c r="F137" i="6"/>
  <c r="E137" i="6"/>
  <c r="B137" i="6"/>
  <c r="E136" i="6"/>
  <c r="F136" i="6" s="1"/>
  <c r="B136" i="6"/>
  <c r="F135" i="6"/>
  <c r="E135" i="6"/>
  <c r="B135" i="6"/>
  <c r="E134" i="6"/>
  <c r="F134" i="6" s="1"/>
  <c r="B134" i="6"/>
  <c r="E133" i="6"/>
  <c r="F133" i="6" s="1"/>
  <c r="B133" i="6"/>
  <c r="E132" i="6"/>
  <c r="F132" i="6" s="1"/>
  <c r="B132" i="6"/>
  <c r="E131" i="6"/>
  <c r="F131" i="6" s="1"/>
  <c r="B131" i="6"/>
  <c r="E130" i="6"/>
  <c r="F130" i="6" s="1"/>
  <c r="B130" i="6"/>
  <c r="E129" i="6"/>
  <c r="F129" i="6" s="1"/>
  <c r="B129" i="6"/>
  <c r="F128" i="6"/>
  <c r="E128" i="6"/>
  <c r="B128" i="6"/>
  <c r="E127" i="6"/>
  <c r="F127" i="6" s="1"/>
  <c r="B127" i="6"/>
  <c r="E126" i="6"/>
  <c r="F126" i="6" s="1"/>
  <c r="B126" i="6"/>
  <c r="E125" i="6"/>
  <c r="F125" i="6" s="1"/>
  <c r="B125" i="6"/>
  <c r="E124" i="6"/>
  <c r="F124" i="6" s="1"/>
  <c r="B124" i="6"/>
  <c r="E123" i="6"/>
  <c r="F123" i="6" s="1"/>
  <c r="B123" i="6"/>
  <c r="E122" i="6"/>
  <c r="F122" i="6" s="1"/>
  <c r="B122" i="6"/>
  <c r="F121" i="6"/>
  <c r="E121" i="6"/>
  <c r="B121" i="6"/>
  <c r="E120" i="6"/>
  <c r="F120" i="6" s="1"/>
  <c r="B120" i="6"/>
  <c r="E119" i="6"/>
  <c r="F119" i="6" s="1"/>
  <c r="B119" i="6"/>
  <c r="E118" i="6"/>
  <c r="F118" i="6" s="1"/>
  <c r="B118" i="6"/>
  <c r="E117" i="6"/>
  <c r="F117" i="6" s="1"/>
  <c r="B117" i="6"/>
  <c r="E116" i="6"/>
  <c r="F116" i="6" s="1"/>
  <c r="B116" i="6"/>
  <c r="E115" i="6"/>
  <c r="F115" i="6" s="1"/>
  <c r="B115" i="6"/>
  <c r="E114" i="6"/>
  <c r="F114" i="6" s="1"/>
  <c r="B114" i="6"/>
  <c r="E113" i="6"/>
  <c r="F113" i="6" s="1"/>
  <c r="B113" i="6"/>
  <c r="E112" i="6"/>
  <c r="F112" i="6" s="1"/>
  <c r="B112" i="6"/>
  <c r="E111" i="6"/>
  <c r="F111" i="6" s="1"/>
  <c r="B111" i="6"/>
  <c r="E110" i="6"/>
  <c r="F110" i="6" s="1"/>
  <c r="B110" i="6"/>
  <c r="E109" i="6"/>
  <c r="F109" i="6" s="1"/>
  <c r="B109" i="6"/>
  <c r="E108" i="6"/>
  <c r="F108" i="6" s="1"/>
  <c r="B108" i="6"/>
  <c r="E107" i="6"/>
  <c r="F107" i="6" s="1"/>
  <c r="B107" i="6"/>
  <c r="E106" i="6"/>
  <c r="F106" i="6" s="1"/>
  <c r="B106" i="6"/>
  <c r="E105" i="6"/>
  <c r="F105" i="6" s="1"/>
  <c r="B105" i="6"/>
  <c r="E104" i="6"/>
  <c r="F104" i="6" s="1"/>
  <c r="B104" i="6"/>
  <c r="F103" i="6"/>
  <c r="E103" i="6"/>
  <c r="B103" i="6"/>
  <c r="E102" i="6"/>
  <c r="F102" i="6" s="1"/>
  <c r="B102" i="6"/>
  <c r="E101" i="6"/>
  <c r="F101" i="6" s="1"/>
  <c r="B101" i="6"/>
  <c r="E100" i="6"/>
  <c r="F100" i="6" s="1"/>
  <c r="B100" i="6"/>
  <c r="E99" i="6"/>
  <c r="F99" i="6" s="1"/>
  <c r="B99" i="6"/>
  <c r="E98" i="6"/>
  <c r="F98" i="6" s="1"/>
  <c r="B98" i="6"/>
  <c r="E97" i="6"/>
  <c r="F97" i="6" s="1"/>
  <c r="B97" i="6"/>
  <c r="F96" i="6"/>
  <c r="E96" i="6"/>
  <c r="B96" i="6"/>
  <c r="E95" i="6"/>
  <c r="F95" i="6" s="1"/>
  <c r="B95" i="6"/>
  <c r="E94" i="6"/>
  <c r="F94" i="6" s="1"/>
  <c r="B94" i="6"/>
  <c r="E93" i="6"/>
  <c r="F93" i="6" s="1"/>
  <c r="B93" i="6"/>
  <c r="E92" i="6"/>
  <c r="F92" i="6" s="1"/>
  <c r="B92" i="6"/>
  <c r="E91" i="6"/>
  <c r="F91" i="6" s="1"/>
  <c r="B91" i="6"/>
  <c r="E90" i="6"/>
  <c r="F90" i="6" s="1"/>
  <c r="B90" i="6"/>
  <c r="F89" i="6"/>
  <c r="E89" i="6"/>
  <c r="B89" i="6"/>
  <c r="E88" i="6"/>
  <c r="F88" i="6" s="1"/>
  <c r="B88" i="6"/>
  <c r="F87" i="6"/>
  <c r="E87" i="6"/>
  <c r="B87" i="6"/>
  <c r="E86" i="6"/>
  <c r="F86" i="6" s="1"/>
  <c r="B86" i="6"/>
  <c r="E85" i="6"/>
  <c r="F85" i="6" s="1"/>
  <c r="B85" i="6"/>
  <c r="E84" i="6"/>
  <c r="F84" i="6" s="1"/>
  <c r="B84" i="6"/>
  <c r="E83" i="6"/>
  <c r="F83" i="6" s="1"/>
  <c r="B83" i="6"/>
  <c r="E82" i="6"/>
  <c r="F82" i="6" s="1"/>
  <c r="B82" i="6"/>
  <c r="E81" i="6"/>
  <c r="F81" i="6" s="1"/>
  <c r="B81" i="6"/>
  <c r="F80" i="6"/>
  <c r="E80" i="6"/>
  <c r="B80" i="6"/>
  <c r="E79" i="6"/>
  <c r="F79" i="6" s="1"/>
  <c r="B79" i="6"/>
  <c r="E78" i="6"/>
  <c r="F78" i="6" s="1"/>
  <c r="B78" i="6"/>
  <c r="E77" i="6"/>
  <c r="F77" i="6" s="1"/>
  <c r="B77" i="6"/>
  <c r="E76" i="6"/>
  <c r="F76" i="6" s="1"/>
  <c r="B76" i="6"/>
  <c r="E75" i="6"/>
  <c r="F75" i="6" s="1"/>
  <c r="B75" i="6"/>
  <c r="E74" i="6"/>
  <c r="F74" i="6" s="1"/>
  <c r="B74" i="6"/>
  <c r="F73" i="6"/>
  <c r="E73" i="6"/>
  <c r="B73" i="6"/>
  <c r="E72" i="6"/>
  <c r="F72" i="6" s="1"/>
  <c r="B72" i="6"/>
  <c r="F71" i="6"/>
  <c r="E71" i="6"/>
  <c r="B71" i="6"/>
  <c r="E70" i="6"/>
  <c r="F70" i="6" s="1"/>
  <c r="B70" i="6"/>
  <c r="E69" i="6"/>
  <c r="F69" i="6" s="1"/>
  <c r="B69" i="6"/>
  <c r="E68" i="6"/>
  <c r="F68" i="6" s="1"/>
  <c r="B68" i="6"/>
  <c r="E67" i="6"/>
  <c r="F67" i="6" s="1"/>
  <c r="B67" i="6"/>
  <c r="E66" i="6"/>
  <c r="F66" i="6" s="1"/>
  <c r="B66" i="6"/>
  <c r="E65" i="6"/>
  <c r="F65" i="6" s="1"/>
  <c r="B65" i="6"/>
  <c r="F64" i="6"/>
  <c r="E64" i="6"/>
  <c r="B64" i="6"/>
  <c r="E63" i="6"/>
  <c r="F63" i="6" s="1"/>
  <c r="B63" i="6"/>
  <c r="E62" i="6"/>
  <c r="F62" i="6" s="1"/>
  <c r="B62" i="6"/>
  <c r="E61" i="6"/>
  <c r="F61" i="6" s="1"/>
  <c r="B61" i="6"/>
  <c r="E60" i="6"/>
  <c r="F60" i="6" s="1"/>
  <c r="B60" i="6"/>
  <c r="E59" i="6"/>
  <c r="F59" i="6" s="1"/>
  <c r="B59" i="6"/>
  <c r="E58" i="6"/>
  <c r="F58" i="6" s="1"/>
  <c r="B58" i="6"/>
  <c r="F57" i="6"/>
  <c r="E57" i="6"/>
  <c r="B57" i="6"/>
  <c r="E56" i="6"/>
  <c r="F56" i="6" s="1"/>
  <c r="B56" i="6"/>
  <c r="E55" i="6"/>
  <c r="F55" i="6" s="1"/>
  <c r="B55" i="6"/>
  <c r="E54" i="6"/>
  <c r="F54" i="6" s="1"/>
  <c r="B54" i="6"/>
  <c r="E53" i="6"/>
  <c r="F53" i="6" s="1"/>
  <c r="B53" i="6"/>
  <c r="E52" i="6"/>
  <c r="F52" i="6" s="1"/>
  <c r="B52" i="6"/>
  <c r="E51" i="6"/>
  <c r="F51" i="6" s="1"/>
  <c r="B51" i="6"/>
  <c r="E50" i="6"/>
  <c r="F50" i="6" s="1"/>
  <c r="B50" i="6"/>
  <c r="E49" i="6"/>
  <c r="F49" i="6" s="1"/>
  <c r="B49" i="6"/>
  <c r="E48" i="6"/>
  <c r="F48" i="6" s="1"/>
  <c r="B48" i="6"/>
  <c r="E47" i="6"/>
  <c r="F47" i="6" s="1"/>
  <c r="B47" i="6"/>
  <c r="E46" i="6"/>
  <c r="F46" i="6" s="1"/>
  <c r="B46" i="6"/>
  <c r="E45" i="6"/>
  <c r="F45" i="6" s="1"/>
  <c r="B45" i="6"/>
  <c r="E44" i="6"/>
  <c r="F44" i="6" s="1"/>
  <c r="B44" i="6"/>
  <c r="E43" i="6"/>
  <c r="F43" i="6" s="1"/>
  <c r="B43" i="6"/>
  <c r="E42" i="6"/>
  <c r="F42" i="6" s="1"/>
  <c r="B42" i="6"/>
  <c r="E41" i="6"/>
  <c r="F41" i="6" s="1"/>
  <c r="B41" i="6"/>
  <c r="E40" i="6"/>
  <c r="F40" i="6" s="1"/>
  <c r="B40" i="6"/>
  <c r="F39" i="6"/>
  <c r="E39" i="6"/>
  <c r="B39" i="6"/>
  <c r="E38" i="6"/>
  <c r="F38" i="6" s="1"/>
  <c r="B38" i="6"/>
  <c r="E37" i="6"/>
  <c r="F37" i="6" s="1"/>
  <c r="B37" i="6"/>
  <c r="E36" i="6"/>
  <c r="F36" i="6" s="1"/>
  <c r="B36" i="6"/>
  <c r="E35" i="6"/>
  <c r="F35" i="6" s="1"/>
  <c r="B35" i="6"/>
  <c r="E34" i="6"/>
  <c r="F34" i="6" s="1"/>
  <c r="B34" i="6"/>
  <c r="E33" i="6"/>
  <c r="F33" i="6" s="1"/>
  <c r="B33" i="6"/>
  <c r="F32" i="6"/>
  <c r="E32" i="6"/>
  <c r="B32" i="6"/>
  <c r="E31" i="6"/>
  <c r="F31" i="6" s="1"/>
  <c r="B31" i="6"/>
  <c r="E30" i="6"/>
  <c r="F30" i="6" s="1"/>
  <c r="B30" i="6"/>
  <c r="E29" i="6"/>
  <c r="F29" i="6" s="1"/>
  <c r="B29" i="6"/>
  <c r="E28" i="6"/>
  <c r="F28" i="6" s="1"/>
  <c r="B28" i="6"/>
  <c r="E27" i="6"/>
  <c r="F27" i="6" s="1"/>
  <c r="B27" i="6"/>
  <c r="E26" i="6"/>
  <c r="F26" i="6" s="1"/>
  <c r="B26" i="6"/>
  <c r="F25" i="6"/>
  <c r="E25" i="6"/>
  <c r="B25" i="6"/>
  <c r="E24" i="6"/>
  <c r="F24" i="6" s="1"/>
  <c r="B24" i="6"/>
  <c r="F23" i="6"/>
  <c r="E23" i="6"/>
  <c r="B23" i="6"/>
  <c r="E22" i="6"/>
  <c r="F22" i="6" s="1"/>
  <c r="B22" i="6"/>
  <c r="E21" i="6"/>
  <c r="F21" i="6" s="1"/>
  <c r="B21" i="6"/>
  <c r="E20" i="6"/>
  <c r="F20" i="6" s="1"/>
  <c r="B20" i="6"/>
  <c r="E19" i="6"/>
  <c r="F19" i="6" s="1"/>
  <c r="B19" i="6"/>
  <c r="E18" i="6"/>
  <c r="F18" i="6" s="1"/>
  <c r="B18" i="6"/>
  <c r="E17" i="6"/>
  <c r="F17" i="6" s="1"/>
  <c r="B17" i="6"/>
  <c r="F16" i="6"/>
  <c r="E16" i="6"/>
  <c r="B16" i="6"/>
  <c r="E15" i="6"/>
  <c r="F15" i="6" s="1"/>
  <c r="B15" i="6"/>
  <c r="E14" i="6"/>
  <c r="F14" i="6" s="1"/>
  <c r="B14" i="6"/>
  <c r="E13" i="6"/>
  <c r="F13" i="6" s="1"/>
  <c r="B13" i="6"/>
  <c r="E12" i="6"/>
  <c r="F12" i="6" s="1"/>
  <c r="B12" i="6"/>
  <c r="E11" i="6"/>
  <c r="F11" i="6" s="1"/>
  <c r="B11" i="6"/>
  <c r="E10" i="6"/>
  <c r="F10" i="6" s="1"/>
  <c r="B10" i="6"/>
  <c r="F9" i="6"/>
  <c r="E9" i="6"/>
  <c r="B9" i="6"/>
  <c r="E8" i="6"/>
  <c r="F8" i="6" s="1"/>
  <c r="B8" i="6"/>
  <c r="F7" i="6"/>
  <c r="E7" i="6"/>
  <c r="B7" i="6"/>
  <c r="E6" i="6"/>
  <c r="F6" i="6" s="1"/>
  <c r="B6" i="6"/>
  <c r="E5" i="6"/>
  <c r="F5" i="6" s="1"/>
  <c r="B5" i="6"/>
  <c r="E4" i="6"/>
  <c r="F4" i="6" s="1"/>
  <c r="B4" i="6"/>
  <c r="E3" i="6"/>
  <c r="F3" i="6" s="1"/>
  <c r="B3" i="6"/>
  <c r="E2" i="6"/>
  <c r="F2" i="6" s="1"/>
  <c r="B2" i="6"/>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C299" i="3" s="1"/>
  <c r="B299" i="3" s="1"/>
  <c r="G21" i="4"/>
  <c r="K21" i="4" s="1"/>
  <c r="C21" i="4"/>
  <c r="B21" i="4"/>
  <c r="A21" i="4"/>
  <c r="G20" i="4"/>
  <c r="K20" i="4" s="1"/>
  <c r="C20" i="4"/>
  <c r="B20" i="4"/>
  <c r="A20" i="4"/>
  <c r="K19" i="4"/>
  <c r="G19" i="4"/>
  <c r="C19" i="4"/>
  <c r="B19" i="4"/>
  <c r="A19" i="4"/>
  <c r="G18" i="4"/>
  <c r="K18" i="4" s="1"/>
  <c r="C18" i="4"/>
  <c r="B18" i="4"/>
  <c r="A18" i="4"/>
  <c r="G17" i="4"/>
  <c r="K17" i="4" s="1"/>
  <c r="C17" i="4"/>
  <c r="B17" i="4"/>
  <c r="A17" i="4"/>
  <c r="G16" i="4"/>
  <c r="K16" i="4" s="1"/>
  <c r="C16" i="4"/>
  <c r="B16" i="4"/>
  <c r="A16" i="4"/>
  <c r="G15" i="4"/>
  <c r="K15" i="4" s="1"/>
  <c r="C15" i="4"/>
  <c r="B15" i="4"/>
  <c r="A15" i="4"/>
  <c r="G14" i="4"/>
  <c r="K14" i="4" s="1"/>
  <c r="C14" i="4"/>
  <c r="B14" i="4"/>
  <c r="A14" i="4"/>
  <c r="G13" i="4"/>
  <c r="K13" i="4" s="1"/>
  <c r="C13" i="4"/>
  <c r="B13" i="4"/>
  <c r="A13" i="4"/>
  <c r="G12" i="4"/>
  <c r="K12" i="4" s="1"/>
  <c r="C12" i="4"/>
  <c r="B12" i="4"/>
  <c r="A12" i="4"/>
  <c r="G11" i="4"/>
  <c r="K11" i="4" s="1"/>
  <c r="C11" i="4"/>
  <c r="B11" i="4"/>
  <c r="A11" i="4"/>
  <c r="G10" i="4"/>
  <c r="K10" i="4" s="1"/>
  <c r="C10" i="4"/>
  <c r="B10" i="4"/>
  <c r="A10" i="4"/>
  <c r="G9" i="4"/>
  <c r="K9" i="4" s="1"/>
  <c r="C9" i="4"/>
  <c r="B9" i="4"/>
  <c r="A9" i="4"/>
  <c r="G8" i="4"/>
  <c r="K8" i="4" s="1"/>
  <c r="C8" i="4"/>
  <c r="B8" i="4"/>
  <c r="A8" i="4"/>
  <c r="K7" i="4"/>
  <c r="G7" i="4"/>
  <c r="C7" i="4"/>
  <c r="B7" i="4"/>
  <c r="A7" i="4"/>
  <c r="G6" i="4"/>
  <c r="K6" i="4" s="1"/>
  <c r="C6" i="4"/>
  <c r="B6" i="4"/>
  <c r="A6" i="4"/>
  <c r="G5" i="4"/>
  <c r="K5" i="4" s="1"/>
  <c r="C5" i="4"/>
  <c r="B5" i="4"/>
  <c r="A5" i="4"/>
  <c r="G4" i="4"/>
  <c r="K4" i="4" s="1"/>
  <c r="C4" i="4"/>
  <c r="B4" i="4"/>
  <c r="A4" i="4"/>
  <c r="K3" i="4"/>
  <c r="G3" i="4"/>
  <c r="C3" i="4"/>
  <c r="B3" i="4"/>
  <c r="A3" i="4"/>
  <c r="G2" i="4"/>
  <c r="K2" i="4" s="1"/>
  <c r="C2" i="4"/>
  <c r="B2" i="4"/>
  <c r="A2" i="4"/>
  <c r="I318" i="3"/>
  <c r="C318" i="3" s="1"/>
  <c r="B318" i="3" s="1"/>
  <c r="F318" i="3"/>
  <c r="I317" i="3"/>
  <c r="F317" i="3"/>
  <c r="I316" i="3"/>
  <c r="C316" i="3" s="1"/>
  <c r="B316" i="3" s="1"/>
  <c r="G316" i="3" s="1"/>
  <c r="F316" i="3"/>
  <c r="I315" i="3"/>
  <c r="F315" i="3"/>
  <c r="I314" i="3"/>
  <c r="F314" i="3"/>
  <c r="I313" i="3"/>
  <c r="F313" i="3"/>
  <c r="I312" i="3"/>
  <c r="F312" i="3"/>
  <c r="I302" i="3"/>
  <c r="F302" i="3"/>
  <c r="I301" i="3"/>
  <c r="C301" i="3" s="1"/>
  <c r="B301" i="3" s="1"/>
  <c r="F301" i="3"/>
  <c r="I300" i="3"/>
  <c r="F300" i="3"/>
  <c r="I299" i="3"/>
  <c r="F299" i="3"/>
  <c r="I298" i="3"/>
  <c r="F298" i="3"/>
  <c r="I297" i="3"/>
  <c r="C297" i="3" s="1"/>
  <c r="B297" i="3" s="1"/>
  <c r="F297" i="3"/>
  <c r="I296" i="3"/>
  <c r="E303" i="3" s="1"/>
  <c r="G293" i="3" s="1"/>
  <c r="G294" i="3" s="1"/>
  <c r="D20" i="4" s="1"/>
  <c r="F296" i="3"/>
  <c r="I286" i="3"/>
  <c r="F286" i="3"/>
  <c r="I285" i="3"/>
  <c r="C285" i="3" s="1"/>
  <c r="B285" i="3" s="1"/>
  <c r="F285" i="3"/>
  <c r="I284" i="3"/>
  <c r="C284" i="3" s="1"/>
  <c r="B284" i="3" s="1"/>
  <c r="F284" i="3"/>
  <c r="I283" i="3"/>
  <c r="F283" i="3"/>
  <c r="I282" i="3"/>
  <c r="C282" i="3" s="1"/>
  <c r="B282" i="3" s="1"/>
  <c r="F282" i="3"/>
  <c r="I281" i="3"/>
  <c r="F281" i="3"/>
  <c r="C281" i="3"/>
  <c r="B281" i="3" s="1"/>
  <c r="I280" i="3"/>
  <c r="F280" i="3"/>
  <c r="I270" i="3"/>
  <c r="F270" i="3"/>
  <c r="I269" i="3"/>
  <c r="C269" i="3" s="1"/>
  <c r="B269" i="3" s="1"/>
  <c r="F269" i="3"/>
  <c r="I268" i="3"/>
  <c r="F268" i="3"/>
  <c r="I267" i="3"/>
  <c r="F267" i="3"/>
  <c r="C267" i="3"/>
  <c r="B267" i="3" s="1"/>
  <c r="D267" i="3" s="1"/>
  <c r="I266" i="3"/>
  <c r="C266" i="3" s="1"/>
  <c r="B266" i="3" s="1"/>
  <c r="G266" i="3" s="1"/>
  <c r="F266" i="3"/>
  <c r="I265" i="3"/>
  <c r="F265" i="3"/>
  <c r="I264" i="3"/>
  <c r="F264" i="3"/>
  <c r="I254" i="3"/>
  <c r="C254" i="3" s="1"/>
  <c r="B254" i="3" s="1"/>
  <c r="F254" i="3"/>
  <c r="I253" i="3"/>
  <c r="F253" i="3"/>
  <c r="I252" i="3"/>
  <c r="C252" i="3" s="1"/>
  <c r="B252" i="3" s="1"/>
  <c r="G252" i="3" s="1"/>
  <c r="F252" i="3"/>
  <c r="I251" i="3"/>
  <c r="F251" i="3"/>
  <c r="I250" i="3"/>
  <c r="C250" i="3" s="1"/>
  <c r="B250" i="3" s="1"/>
  <c r="F250" i="3"/>
  <c r="I249" i="3"/>
  <c r="F249" i="3"/>
  <c r="I248" i="3"/>
  <c r="F248" i="3"/>
  <c r="I238" i="3"/>
  <c r="C238" i="3" s="1"/>
  <c r="B238" i="3" s="1"/>
  <c r="F238" i="3"/>
  <c r="I237" i="3"/>
  <c r="C237" i="3" s="1"/>
  <c r="B237" i="3" s="1"/>
  <c r="D237" i="3" s="1"/>
  <c r="F237" i="3"/>
  <c r="I236" i="3"/>
  <c r="C236" i="3" s="1"/>
  <c r="B236" i="3" s="1"/>
  <c r="F236" i="3"/>
  <c r="I235" i="3"/>
  <c r="F235" i="3"/>
  <c r="I234" i="3"/>
  <c r="C234" i="3" s="1"/>
  <c r="B234" i="3" s="1"/>
  <c r="F234" i="3"/>
  <c r="I233" i="3"/>
  <c r="C233" i="3" s="1"/>
  <c r="B233" i="3" s="1"/>
  <c r="F233" i="3"/>
  <c r="I232" i="3"/>
  <c r="C232" i="3" s="1"/>
  <c r="B232" i="3" s="1"/>
  <c r="F232" i="3"/>
  <c r="I222" i="3"/>
  <c r="F222" i="3"/>
  <c r="I221" i="3"/>
  <c r="C221" i="3" s="1"/>
  <c r="B221" i="3" s="1"/>
  <c r="F221" i="3"/>
  <c r="I220" i="3"/>
  <c r="C220" i="3" s="1"/>
  <c r="B220" i="3" s="1"/>
  <c r="F220" i="3"/>
  <c r="I219" i="3"/>
  <c r="F219" i="3"/>
  <c r="I218" i="3"/>
  <c r="F218" i="3"/>
  <c r="I217" i="3"/>
  <c r="F217" i="3"/>
  <c r="I216" i="3"/>
  <c r="F216" i="3"/>
  <c r="I206" i="3"/>
  <c r="F206" i="3"/>
  <c r="I205" i="3"/>
  <c r="C205" i="3" s="1"/>
  <c r="B205" i="3" s="1"/>
  <c r="F205" i="3"/>
  <c r="I204" i="3"/>
  <c r="F204" i="3"/>
  <c r="C204" i="3"/>
  <c r="B204" i="3" s="1"/>
  <c r="I203" i="3"/>
  <c r="C203" i="3" s="1"/>
  <c r="B203" i="3" s="1"/>
  <c r="F203" i="3"/>
  <c r="I202" i="3"/>
  <c r="F202" i="3"/>
  <c r="I201" i="3"/>
  <c r="F201" i="3"/>
  <c r="I200" i="3"/>
  <c r="C200" i="3" s="1"/>
  <c r="B200" i="3" s="1"/>
  <c r="F200" i="3"/>
  <c r="I190" i="3"/>
  <c r="F190" i="3"/>
  <c r="I189" i="3"/>
  <c r="F189" i="3"/>
  <c r="I188" i="3"/>
  <c r="C188" i="3" s="1"/>
  <c r="B188" i="3" s="1"/>
  <c r="G188" i="3" s="1"/>
  <c r="F188" i="3"/>
  <c r="I187" i="3"/>
  <c r="C187" i="3" s="1"/>
  <c r="B187" i="3" s="1"/>
  <c r="F187" i="3"/>
  <c r="I186" i="3"/>
  <c r="C186" i="3" s="1"/>
  <c r="B186" i="3" s="1"/>
  <c r="F186" i="3"/>
  <c r="I185" i="3"/>
  <c r="F185" i="3"/>
  <c r="I184" i="3"/>
  <c r="F184" i="3"/>
  <c r="I174" i="3"/>
  <c r="F174" i="3"/>
  <c r="I173" i="3"/>
  <c r="F173" i="3"/>
  <c r="I172" i="3"/>
  <c r="C172" i="3" s="1"/>
  <c r="B172" i="3" s="1"/>
  <c r="F172" i="3"/>
  <c r="I171" i="3"/>
  <c r="C171" i="3" s="1"/>
  <c r="B171" i="3" s="1"/>
  <c r="D171" i="3" s="1"/>
  <c r="F171" i="3"/>
  <c r="I170" i="3"/>
  <c r="F170" i="3"/>
  <c r="C170" i="3"/>
  <c r="B170" i="3" s="1"/>
  <c r="G170" i="3" s="1"/>
  <c r="I169" i="3"/>
  <c r="C169" i="3" s="1"/>
  <c r="B169" i="3" s="1"/>
  <c r="F169" i="3"/>
  <c r="I168" i="3"/>
  <c r="C168" i="3" s="1"/>
  <c r="B168" i="3" s="1"/>
  <c r="F168" i="3"/>
  <c r="I158" i="3"/>
  <c r="C158" i="3" s="1"/>
  <c r="B158" i="3" s="1"/>
  <c r="F158" i="3"/>
  <c r="I157" i="3"/>
  <c r="F157" i="3"/>
  <c r="I156" i="3"/>
  <c r="C156" i="3" s="1"/>
  <c r="B156" i="3" s="1"/>
  <c r="F156" i="3"/>
  <c r="I155" i="3"/>
  <c r="C155" i="3" s="1"/>
  <c r="B155" i="3" s="1"/>
  <c r="F155" i="3"/>
  <c r="I154" i="3"/>
  <c r="C154" i="3" s="1"/>
  <c r="B154" i="3" s="1"/>
  <c r="D154" i="3" s="1"/>
  <c r="F154" i="3"/>
  <c r="I153" i="3"/>
  <c r="C153" i="3" s="1"/>
  <c r="B153" i="3" s="1"/>
  <c r="D153" i="3" s="1"/>
  <c r="F153" i="3"/>
  <c r="I152" i="3"/>
  <c r="F152" i="3"/>
  <c r="I142" i="3"/>
  <c r="F142" i="3"/>
  <c r="C142" i="3"/>
  <c r="B142" i="3" s="1"/>
  <c r="I141" i="3"/>
  <c r="C141" i="3" s="1"/>
  <c r="B141" i="3" s="1"/>
  <c r="G141" i="3" s="1"/>
  <c r="F141" i="3"/>
  <c r="I140" i="3"/>
  <c r="C140" i="3" s="1"/>
  <c r="B140" i="3" s="1"/>
  <c r="F140" i="3"/>
  <c r="I139" i="3"/>
  <c r="F139" i="3"/>
  <c r="I138" i="3"/>
  <c r="F138" i="3"/>
  <c r="I137" i="3"/>
  <c r="F137" i="3"/>
  <c r="I136" i="3"/>
  <c r="F136" i="3"/>
  <c r="C136" i="3"/>
  <c r="B136" i="3" s="1"/>
  <c r="I126" i="3"/>
  <c r="F126" i="3"/>
  <c r="I125" i="3"/>
  <c r="F125" i="3"/>
  <c r="I124" i="3"/>
  <c r="C124" i="3" s="1"/>
  <c r="B124" i="3" s="1"/>
  <c r="F124" i="3"/>
  <c r="I123" i="3"/>
  <c r="C123" i="3" s="1"/>
  <c r="B123" i="3" s="1"/>
  <c r="F123" i="3"/>
  <c r="I122" i="3"/>
  <c r="C122" i="3" s="1"/>
  <c r="B122" i="3" s="1"/>
  <c r="F122" i="3"/>
  <c r="I121" i="3"/>
  <c r="F121" i="3"/>
  <c r="I120" i="3"/>
  <c r="C120" i="3" s="1"/>
  <c r="B120" i="3" s="1"/>
  <c r="F120" i="3"/>
  <c r="I110" i="3"/>
  <c r="F110" i="3"/>
  <c r="I109" i="3"/>
  <c r="F109" i="3"/>
  <c r="I108" i="3"/>
  <c r="C108" i="3" s="1"/>
  <c r="B108" i="3" s="1"/>
  <c r="D108" i="3" s="1"/>
  <c r="F108" i="3"/>
  <c r="I107" i="3"/>
  <c r="F107" i="3"/>
  <c r="I106" i="3"/>
  <c r="F106" i="3"/>
  <c r="C106" i="3"/>
  <c r="B106" i="3" s="1"/>
  <c r="I105" i="3"/>
  <c r="F105" i="3"/>
  <c r="I104" i="3"/>
  <c r="F104" i="3"/>
  <c r="I94" i="3"/>
  <c r="F94" i="3"/>
  <c r="C94" i="3"/>
  <c r="B94" i="3" s="1"/>
  <c r="I93" i="3"/>
  <c r="C93" i="3" s="1"/>
  <c r="B93" i="3" s="1"/>
  <c r="D93" i="3" s="1"/>
  <c r="F93" i="3"/>
  <c r="I92" i="3"/>
  <c r="C92" i="3" s="1"/>
  <c r="B92" i="3" s="1"/>
  <c r="F92" i="3"/>
  <c r="I91" i="3"/>
  <c r="C91" i="3" s="1"/>
  <c r="B91" i="3" s="1"/>
  <c r="G91" i="3" s="1"/>
  <c r="F91" i="3"/>
  <c r="D91" i="3"/>
  <c r="I90" i="3"/>
  <c r="C90" i="3" s="1"/>
  <c r="B90" i="3" s="1"/>
  <c r="F90" i="3"/>
  <c r="I89" i="3"/>
  <c r="F89" i="3"/>
  <c r="C89" i="3"/>
  <c r="B89" i="3" s="1"/>
  <c r="G89" i="3" s="1"/>
  <c r="I88" i="3"/>
  <c r="F88" i="3"/>
  <c r="I78" i="3"/>
  <c r="F78" i="3"/>
  <c r="I77" i="3"/>
  <c r="F77" i="3"/>
  <c r="I76" i="3"/>
  <c r="F76" i="3"/>
  <c r="I75" i="3"/>
  <c r="F75" i="3"/>
  <c r="I74" i="3"/>
  <c r="F74" i="3"/>
  <c r="I73" i="3"/>
  <c r="F73" i="3"/>
  <c r="I72" i="3"/>
  <c r="F72" i="3"/>
  <c r="I62" i="3"/>
  <c r="F62" i="3"/>
  <c r="I61" i="3"/>
  <c r="C61" i="3" s="1"/>
  <c r="B61" i="3" s="1"/>
  <c r="G61" i="3" s="1"/>
  <c r="F61" i="3"/>
  <c r="I60" i="3"/>
  <c r="C60" i="3" s="1"/>
  <c r="B60" i="3" s="1"/>
  <c r="F60" i="3"/>
  <c r="I59" i="3"/>
  <c r="F59" i="3"/>
  <c r="C59" i="3"/>
  <c r="B59" i="3" s="1"/>
  <c r="I58" i="3"/>
  <c r="F58" i="3"/>
  <c r="C58" i="3"/>
  <c r="B58" i="3" s="1"/>
  <c r="I57" i="3"/>
  <c r="F57" i="3"/>
  <c r="I56" i="3"/>
  <c r="F56" i="3"/>
  <c r="I46" i="3"/>
  <c r="C46" i="3" s="1"/>
  <c r="B46" i="3" s="1"/>
  <c r="F46" i="3"/>
  <c r="I45" i="3"/>
  <c r="F45" i="3"/>
  <c r="I44" i="3"/>
  <c r="C44" i="3" s="1"/>
  <c r="B44" i="3" s="1"/>
  <c r="F44" i="3"/>
  <c r="I43" i="3"/>
  <c r="C43" i="3" s="1"/>
  <c r="B43" i="3" s="1"/>
  <c r="G43" i="3" s="1"/>
  <c r="F43" i="3"/>
  <c r="D43" i="3"/>
  <c r="I42" i="3"/>
  <c r="F42" i="3"/>
  <c r="I41" i="3"/>
  <c r="F41" i="3"/>
  <c r="C41" i="3"/>
  <c r="B41" i="3" s="1"/>
  <c r="I40" i="3"/>
  <c r="E47" i="3" s="1"/>
  <c r="G37" i="3" s="1"/>
  <c r="G38" i="3" s="1"/>
  <c r="D4" i="4" s="1"/>
  <c r="F40" i="3"/>
  <c r="I30" i="3"/>
  <c r="F30" i="3"/>
  <c r="C30" i="3"/>
  <c r="B30" i="3" s="1"/>
  <c r="I29" i="3"/>
  <c r="F29" i="3"/>
  <c r="I28" i="3"/>
  <c r="C28" i="3" s="1"/>
  <c r="B28" i="3" s="1"/>
  <c r="G28" i="3" s="1"/>
  <c r="F28" i="3"/>
  <c r="I27" i="3"/>
  <c r="C27" i="3" s="1"/>
  <c r="B27" i="3" s="1"/>
  <c r="F27" i="3"/>
  <c r="I26" i="3"/>
  <c r="F26" i="3"/>
  <c r="C26" i="3"/>
  <c r="B26" i="3" s="1"/>
  <c r="I25" i="3"/>
  <c r="F25" i="3"/>
  <c r="I24" i="3"/>
  <c r="F24" i="3"/>
  <c r="I14" i="3"/>
  <c r="F14" i="3"/>
  <c r="I13" i="3"/>
  <c r="C13" i="3" s="1"/>
  <c r="B13" i="3" s="1"/>
  <c r="F13" i="3"/>
  <c r="I12" i="3"/>
  <c r="F12" i="3"/>
  <c r="C12" i="3"/>
  <c r="B12" i="3" s="1"/>
  <c r="D12" i="3" s="1"/>
  <c r="I11" i="3"/>
  <c r="C11" i="3" s="1"/>
  <c r="B11" i="3" s="1"/>
  <c r="F11" i="3"/>
  <c r="I10" i="3"/>
  <c r="C10" i="3" s="1"/>
  <c r="B10" i="3" s="1"/>
  <c r="F10" i="3"/>
  <c r="I9" i="3"/>
  <c r="F9" i="3"/>
  <c r="C9" i="3"/>
  <c r="B9" i="3" s="1"/>
  <c r="I8" i="3"/>
  <c r="F8" i="3"/>
  <c r="C8" i="3"/>
  <c r="B8" i="3"/>
  <c r="G8" i="3" s="1"/>
  <c r="G313" i="2"/>
  <c r="G312" i="2"/>
  <c r="G311" i="2"/>
  <c r="G310" i="2"/>
  <c r="G309" i="2"/>
  <c r="G308" i="2"/>
  <c r="G307" i="2"/>
  <c r="G306" i="2"/>
  <c r="G305" i="2"/>
  <c r="G304" i="2"/>
  <c r="G303" i="2"/>
  <c r="G302" i="2"/>
  <c r="G301" i="2"/>
  <c r="G300" i="2"/>
  <c r="G299" i="2"/>
  <c r="G298" i="2"/>
  <c r="G297" i="2"/>
  <c r="G296" i="2"/>
  <c r="G295" i="2"/>
  <c r="G294" i="2"/>
  <c r="G293" i="2"/>
  <c r="G292" i="2"/>
  <c r="G291" i="2"/>
  <c r="G290" i="2"/>
  <c r="G289" i="2"/>
  <c r="G288" i="2"/>
  <c r="G287" i="2"/>
  <c r="G286" i="2"/>
  <c r="G285" i="2"/>
  <c r="G284" i="2"/>
  <c r="G283" i="2"/>
  <c r="G282" i="2"/>
  <c r="G281" i="2"/>
  <c r="G280" i="2"/>
  <c r="G279" i="2"/>
  <c r="G278" i="2"/>
  <c r="G277" i="2"/>
  <c r="G276" i="2"/>
  <c r="G275" i="2"/>
  <c r="G274" i="2"/>
  <c r="G273" i="2"/>
  <c r="G272" i="2"/>
  <c r="G271" i="2"/>
  <c r="G270" i="2"/>
  <c r="G269" i="2"/>
  <c r="G268" i="2"/>
  <c r="G267" i="2"/>
  <c r="G266" i="2"/>
  <c r="G265" i="2"/>
  <c r="G264" i="2"/>
  <c r="G263" i="2"/>
  <c r="G262" i="2"/>
  <c r="G261" i="2"/>
  <c r="G260" i="2"/>
  <c r="G259" i="2"/>
  <c r="G258" i="2"/>
  <c r="G257" i="2"/>
  <c r="G256" i="2"/>
  <c r="G255" i="2"/>
  <c r="G254" i="2"/>
  <c r="G253" i="2"/>
  <c r="G252" i="2"/>
  <c r="G251" i="2"/>
  <c r="G250" i="2"/>
  <c r="G249" i="2"/>
  <c r="G248" i="2"/>
  <c r="G247" i="2"/>
  <c r="G246" i="2"/>
  <c r="G245" i="2"/>
  <c r="G244" i="2"/>
  <c r="G243" i="2"/>
  <c r="G242" i="2"/>
  <c r="G241" i="2"/>
  <c r="G240" i="2"/>
  <c r="G239" i="2"/>
  <c r="G238" i="2"/>
  <c r="G237" i="2"/>
  <c r="G236" i="2"/>
  <c r="G235" i="2"/>
  <c r="G234" i="2"/>
  <c r="G233" i="2"/>
  <c r="G232" i="2"/>
  <c r="G231" i="2"/>
  <c r="G230" i="2"/>
  <c r="G229" i="2"/>
  <c r="G228" i="2"/>
  <c r="G227" i="2"/>
  <c r="G226" i="2"/>
  <c r="G225" i="2"/>
  <c r="G224" i="2"/>
  <c r="G223" i="2"/>
  <c r="G222" i="2"/>
  <c r="G221" i="2"/>
  <c r="G220" i="2"/>
  <c r="G219" i="2"/>
  <c r="G218" i="2"/>
  <c r="G217" i="2"/>
  <c r="G216" i="2"/>
  <c r="G215" i="2"/>
  <c r="G214" i="2"/>
  <c r="G213" i="2"/>
  <c r="G212" i="2"/>
  <c r="G211" i="2"/>
  <c r="G210" i="2"/>
  <c r="G209" i="2"/>
  <c r="G208" i="2"/>
  <c r="G207" i="2"/>
  <c r="G206" i="2"/>
  <c r="G205" i="2"/>
  <c r="G204" i="2"/>
  <c r="G203" i="2"/>
  <c r="G202" i="2"/>
  <c r="G201" i="2"/>
  <c r="G200" i="2"/>
  <c r="G199" i="2"/>
  <c r="G198" i="2"/>
  <c r="G197" i="2"/>
  <c r="G196" i="2"/>
  <c r="G195" i="2"/>
  <c r="G194" i="2"/>
  <c r="G193" i="2"/>
  <c r="G192" i="2"/>
  <c r="G191" i="2"/>
  <c r="G190" i="2"/>
  <c r="G189" i="2"/>
  <c r="G188" i="2"/>
  <c r="G187" i="2"/>
  <c r="G186" i="2"/>
  <c r="G185" i="2"/>
  <c r="G184" i="2"/>
  <c r="G183" i="2"/>
  <c r="G182" i="2"/>
  <c r="G181" i="2"/>
  <c r="G180" i="2"/>
  <c r="G179" i="2"/>
  <c r="G178" i="2"/>
  <c r="G177" i="2"/>
  <c r="G176" i="2"/>
  <c r="G175" i="2"/>
  <c r="G174" i="2"/>
  <c r="G173" i="2"/>
  <c r="G172" i="2"/>
  <c r="G171" i="2"/>
  <c r="G170" i="2"/>
  <c r="G169" i="2"/>
  <c r="G168" i="2"/>
  <c r="G167" i="2"/>
  <c r="G166" i="2"/>
  <c r="G165" i="2"/>
  <c r="G164" i="2"/>
  <c r="G163" i="2"/>
  <c r="G162" i="2"/>
  <c r="G161" i="2"/>
  <c r="G160" i="2"/>
  <c r="G159" i="2"/>
  <c r="G158" i="2"/>
  <c r="G157" i="2"/>
  <c r="G156" i="2"/>
  <c r="G155" i="2"/>
  <c r="G154" i="2"/>
  <c r="G153" i="2"/>
  <c r="G152" i="2"/>
  <c r="G151" i="2"/>
  <c r="G150" i="2"/>
  <c r="G149" i="2"/>
  <c r="G148" i="2"/>
  <c r="G147" i="2"/>
  <c r="G146" i="2"/>
  <c r="G145" i="2"/>
  <c r="G144" i="2"/>
  <c r="G143" i="2"/>
  <c r="G142" i="2"/>
  <c r="G141" i="2"/>
  <c r="G140" i="2"/>
  <c r="G139" i="2"/>
  <c r="G138" i="2"/>
  <c r="G137" i="2"/>
  <c r="G136" i="2"/>
  <c r="G135" i="2"/>
  <c r="G134" i="2"/>
  <c r="G133" i="2"/>
  <c r="G132" i="2"/>
  <c r="G131" i="2"/>
  <c r="G130" i="2"/>
  <c r="G129" i="2"/>
  <c r="G128" i="2"/>
  <c r="G127" i="2"/>
  <c r="G126" i="2"/>
  <c r="G125" i="2"/>
  <c r="G124" i="2"/>
  <c r="G123" i="2"/>
  <c r="G122" i="2"/>
  <c r="G121" i="2"/>
  <c r="G120" i="2"/>
  <c r="G119" i="2"/>
  <c r="G118" i="2"/>
  <c r="G117" i="2"/>
  <c r="G116" i="2"/>
  <c r="G115" i="2"/>
  <c r="G114" i="2"/>
  <c r="G113" i="2"/>
  <c r="G112" i="2"/>
  <c r="G111" i="2"/>
  <c r="G110" i="2"/>
  <c r="G109" i="2"/>
  <c r="G108" i="2"/>
  <c r="G107" i="2"/>
  <c r="G106" i="2"/>
  <c r="G105" i="2"/>
  <c r="G104" i="2"/>
  <c r="G103" i="2"/>
  <c r="G102" i="2"/>
  <c r="G101" i="2"/>
  <c r="G100" i="2"/>
  <c r="G99" i="2"/>
  <c r="G98" i="2"/>
  <c r="G97" i="2"/>
  <c r="G96" i="2"/>
  <c r="G95" i="2"/>
  <c r="G94" i="2"/>
  <c r="G93" i="2"/>
  <c r="G92" i="2"/>
  <c r="G91" i="2"/>
  <c r="G90" i="2"/>
  <c r="G89" i="2"/>
  <c r="G88" i="2"/>
  <c r="G87" i="2"/>
  <c r="G86" i="2"/>
  <c r="G85"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282" i="3" l="1"/>
  <c r="D282" i="3"/>
  <c r="D58" i="3"/>
  <c r="G58" i="3"/>
  <c r="G123" i="3"/>
  <c r="D123" i="3"/>
  <c r="D172" i="3"/>
  <c r="G172" i="3"/>
  <c r="D254" i="3"/>
  <c r="G254" i="3"/>
  <c r="G90" i="3"/>
  <c r="D90" i="3"/>
  <c r="G124" i="3"/>
  <c r="D124" i="3"/>
  <c r="G301" i="3"/>
  <c r="D301" i="3"/>
  <c r="D318" i="3"/>
  <c r="G318" i="3"/>
  <c r="G60" i="3"/>
  <c r="D60" i="3"/>
  <c r="G285" i="3"/>
  <c r="D285" i="3"/>
  <c r="C29" i="3"/>
  <c r="B29" i="3" s="1"/>
  <c r="G29" i="3" s="1"/>
  <c r="C56" i="3"/>
  <c r="B56" i="3" s="1"/>
  <c r="G56" i="3" s="1"/>
  <c r="C75" i="3"/>
  <c r="B75" i="3" s="1"/>
  <c r="C125" i="3"/>
  <c r="B125" i="3" s="1"/>
  <c r="G125" i="3" s="1"/>
  <c r="D170" i="3"/>
  <c r="C189" i="3"/>
  <c r="B189" i="3" s="1"/>
  <c r="D189" i="3" s="1"/>
  <c r="C253" i="3"/>
  <c r="B253" i="3" s="1"/>
  <c r="C109" i="3"/>
  <c r="B109" i="3" s="1"/>
  <c r="C121" i="3"/>
  <c r="B121" i="3" s="1"/>
  <c r="C126" i="3"/>
  <c r="B126" i="3" s="1"/>
  <c r="C137" i="3"/>
  <c r="B137" i="3" s="1"/>
  <c r="G137" i="3" s="1"/>
  <c r="C201" i="3"/>
  <c r="B201" i="3" s="1"/>
  <c r="C216" i="3"/>
  <c r="B216" i="3" s="1"/>
  <c r="G216" i="3" s="1"/>
  <c r="C222" i="3"/>
  <c r="B222" i="3" s="1"/>
  <c r="C251" i="3"/>
  <c r="B251" i="3" s="1"/>
  <c r="C313" i="3"/>
  <c r="B313" i="3" s="1"/>
  <c r="C73" i="3"/>
  <c r="B73" i="3" s="1"/>
  <c r="C76" i="3"/>
  <c r="B76" i="3" s="1"/>
  <c r="B79" i="3" s="1"/>
  <c r="C88" i="3"/>
  <c r="B88" i="3" s="1"/>
  <c r="B95" i="3" s="1"/>
  <c r="C104" i="3"/>
  <c r="B104" i="3" s="1"/>
  <c r="C152" i="3"/>
  <c r="B152" i="3" s="1"/>
  <c r="C157" i="3"/>
  <c r="B157" i="3" s="1"/>
  <c r="C185" i="3"/>
  <c r="B185" i="3" s="1"/>
  <c r="C300" i="3"/>
  <c r="B300" i="3" s="1"/>
  <c r="C190" i="3"/>
  <c r="B190" i="3" s="1"/>
  <c r="D190" i="3" s="1"/>
  <c r="C265" i="3"/>
  <c r="B265" i="3" s="1"/>
  <c r="G265" i="3" s="1"/>
  <c r="G267" i="3"/>
  <c r="C283" i="3"/>
  <c r="B283" i="3" s="1"/>
  <c r="G283" i="3" s="1"/>
  <c r="C57" i="3"/>
  <c r="B57" i="3" s="1"/>
  <c r="D57" i="3" s="1"/>
  <c r="C107" i="3"/>
  <c r="B107" i="3" s="1"/>
  <c r="C110" i="3"/>
  <c r="B110" i="3" s="1"/>
  <c r="G110" i="3" s="1"/>
  <c r="C202" i="3"/>
  <c r="B202" i="3" s="1"/>
  <c r="C219" i="3"/>
  <c r="B219" i="3" s="1"/>
  <c r="C249" i="3"/>
  <c r="B249" i="3" s="1"/>
  <c r="D249" i="3" s="1"/>
  <c r="C270" i="3"/>
  <c r="B270" i="3" s="1"/>
  <c r="C302" i="3"/>
  <c r="B302" i="3" s="1"/>
  <c r="C314" i="3"/>
  <c r="B314" i="3" s="1"/>
  <c r="C317" i="3"/>
  <c r="B317" i="3" s="1"/>
  <c r="C24" i="3"/>
  <c r="B24" i="3" s="1"/>
  <c r="C42" i="3"/>
  <c r="B42" i="3" s="1"/>
  <c r="E15" i="3"/>
  <c r="G5" i="3" s="1"/>
  <c r="G6" i="3" s="1"/>
  <c r="D2" i="4" s="1"/>
  <c r="C45" i="3"/>
  <c r="B45" i="3" s="1"/>
  <c r="D45" i="3" s="1"/>
  <c r="C25" i="3"/>
  <c r="B25" i="3" s="1"/>
  <c r="C40" i="3"/>
  <c r="B40" i="3" s="1"/>
  <c r="C62" i="3"/>
  <c r="B62" i="3" s="1"/>
  <c r="C74" i="3"/>
  <c r="B74" i="3" s="1"/>
  <c r="G74" i="3" s="1"/>
  <c r="C77" i="3"/>
  <c r="B77" i="3" s="1"/>
  <c r="D77" i="3" s="1"/>
  <c r="G93" i="3"/>
  <c r="C173" i="3"/>
  <c r="B173" i="3" s="1"/>
  <c r="G237" i="3"/>
  <c r="C268" i="3"/>
  <c r="B268" i="3" s="1"/>
  <c r="C286" i="3"/>
  <c r="B286" i="3" s="1"/>
  <c r="D286" i="3" s="1"/>
  <c r="C298" i="3"/>
  <c r="B298" i="3" s="1"/>
  <c r="C315" i="3"/>
  <c r="B315" i="3" s="1"/>
  <c r="C14" i="3"/>
  <c r="B14" i="3" s="1"/>
  <c r="G14" i="3" s="1"/>
  <c r="C72" i="3"/>
  <c r="B72" i="3" s="1"/>
  <c r="G72" i="3" s="1"/>
  <c r="C78" i="3"/>
  <c r="B78" i="3" s="1"/>
  <c r="G78" i="3" s="1"/>
  <c r="C139" i="3"/>
  <c r="B139" i="3" s="1"/>
  <c r="D139" i="3" s="1"/>
  <c r="G153" i="3"/>
  <c r="C174" i="3"/>
  <c r="B174" i="3" s="1"/>
  <c r="C206" i="3"/>
  <c r="B206" i="3" s="1"/>
  <c r="G206" i="3" s="1"/>
  <c r="C218" i="3"/>
  <c r="B218" i="3" s="1"/>
  <c r="D218" i="3" s="1"/>
  <c r="D56" i="3"/>
  <c r="D41" i="3"/>
  <c r="G41" i="3"/>
  <c r="G24" i="3"/>
  <c r="D24" i="3"/>
  <c r="G45" i="3"/>
  <c r="D27" i="3"/>
  <c r="D31" i="3" s="1"/>
  <c r="G27" i="3"/>
  <c r="D59" i="3"/>
  <c r="G59" i="3"/>
  <c r="G25" i="3"/>
  <c r="D25" i="3"/>
  <c r="D40" i="3"/>
  <c r="B47" i="3"/>
  <c r="G40" i="3"/>
  <c r="D13" i="3"/>
  <c r="G13" i="3"/>
  <c r="D26" i="3"/>
  <c r="G26" i="3"/>
  <c r="G46" i="3"/>
  <c r="D46" i="3"/>
  <c r="D11" i="3"/>
  <c r="D15" i="3" s="1"/>
  <c r="G11" i="3"/>
  <c r="G9" i="3"/>
  <c r="D9" i="3"/>
  <c r="D30" i="3"/>
  <c r="G30" i="3"/>
  <c r="D44" i="3"/>
  <c r="G44" i="3"/>
  <c r="G10" i="3"/>
  <c r="D10" i="3"/>
  <c r="D8" i="3"/>
  <c r="G139" i="3"/>
  <c r="G249" i="3"/>
  <c r="D14" i="3"/>
  <c r="D29" i="3"/>
  <c r="B31" i="3"/>
  <c r="G57" i="3"/>
  <c r="D61" i="3"/>
  <c r="G107" i="3"/>
  <c r="D206" i="3"/>
  <c r="D268" i="3"/>
  <c r="G268" i="3"/>
  <c r="D92" i="3"/>
  <c r="G92" i="3"/>
  <c r="G204" i="3"/>
  <c r="D204" i="3"/>
  <c r="G232" i="3"/>
  <c r="D232" i="3"/>
  <c r="D297" i="3"/>
  <c r="G297" i="3"/>
  <c r="D110" i="3"/>
  <c r="D155" i="3"/>
  <c r="G155" i="3"/>
  <c r="G158" i="3"/>
  <c r="D158" i="3"/>
  <c r="G169" i="3"/>
  <c r="D169" i="3"/>
  <c r="D221" i="3"/>
  <c r="G221" i="3"/>
  <c r="D269" i="3"/>
  <c r="G269" i="3"/>
  <c r="D74" i="3"/>
  <c r="C105" i="3"/>
  <c r="B105" i="3" s="1"/>
  <c r="E111" i="3"/>
  <c r="G101" i="3" s="1"/>
  <c r="G102" i="3" s="1"/>
  <c r="D8" i="4" s="1"/>
  <c r="D137" i="3"/>
  <c r="E31" i="3"/>
  <c r="G21" i="3" s="1"/>
  <c r="G22" i="3" s="1"/>
  <c r="D3" i="4" s="1"/>
  <c r="G42" i="3"/>
  <c r="D28" i="3"/>
  <c r="D42" i="3"/>
  <c r="D89" i="3"/>
  <c r="D120" i="3"/>
  <c r="G120" i="3"/>
  <c r="G142" i="3"/>
  <c r="D142" i="3"/>
  <c r="G233" i="3"/>
  <c r="D233" i="3"/>
  <c r="D236" i="3"/>
  <c r="G236" i="3"/>
  <c r="E271" i="3"/>
  <c r="G261" i="3" s="1"/>
  <c r="G262" i="3" s="1"/>
  <c r="D18" i="4" s="1"/>
  <c r="C264" i="3"/>
  <c r="B264" i="3" s="1"/>
  <c r="G109" i="3"/>
  <c r="D109" i="3"/>
  <c r="G253" i="3"/>
  <c r="D253" i="3"/>
  <c r="D315" i="3"/>
  <c r="G315" i="3"/>
  <c r="E79" i="3"/>
  <c r="G69" i="3" s="1"/>
  <c r="G70" i="3" s="1"/>
  <c r="D6" i="4" s="1"/>
  <c r="G104" i="3"/>
  <c r="D104" i="3"/>
  <c r="B111" i="3"/>
  <c r="G12" i="3"/>
  <c r="E63" i="3"/>
  <c r="G53" i="3" s="1"/>
  <c r="G54" i="3" s="1"/>
  <c r="D5" i="4" s="1"/>
  <c r="G77" i="3"/>
  <c r="E95" i="3"/>
  <c r="G85" i="3" s="1"/>
  <c r="G86" i="3" s="1"/>
  <c r="D7" i="4" s="1"/>
  <c r="D156" i="3"/>
  <c r="G156" i="3"/>
  <c r="G299" i="3"/>
  <c r="D299" i="3"/>
  <c r="C312" i="3"/>
  <c r="B312" i="3" s="1"/>
  <c r="E319" i="3"/>
  <c r="G309" i="3" s="1"/>
  <c r="G310" i="3" s="1"/>
  <c r="D21" i="4" s="1"/>
  <c r="B15" i="3"/>
  <c r="D72" i="3"/>
  <c r="G88" i="3"/>
  <c r="D88" i="3"/>
  <c r="D95" i="3" s="1"/>
  <c r="G94" i="3"/>
  <c r="D94" i="3"/>
  <c r="D107" i="3"/>
  <c r="E143" i="3"/>
  <c r="G133" i="3" s="1"/>
  <c r="G134" i="3" s="1"/>
  <c r="D10" i="4" s="1"/>
  <c r="C138" i="3"/>
  <c r="B138" i="3" s="1"/>
  <c r="B143" i="3" s="1"/>
  <c r="G157" i="3"/>
  <c r="D157" i="3"/>
  <c r="G234" i="3"/>
  <c r="D234" i="3"/>
  <c r="G106" i="3"/>
  <c r="G122" i="3"/>
  <c r="D122" i="3"/>
  <c r="D136" i="3"/>
  <c r="G187" i="3"/>
  <c r="D187" i="3"/>
  <c r="G222" i="3"/>
  <c r="D222" i="3"/>
  <c r="D238" i="3"/>
  <c r="G238" i="3"/>
  <c r="G250" i="3"/>
  <c r="D250" i="3"/>
  <c r="D106" i="3"/>
  <c r="D125" i="3"/>
  <c r="D152" i="3"/>
  <c r="D159" i="3" s="1"/>
  <c r="E159" i="3"/>
  <c r="G149" i="3" s="1"/>
  <c r="G150" i="3" s="1"/>
  <c r="D11" i="4" s="1"/>
  <c r="G171" i="3"/>
  <c r="C184" i="3"/>
  <c r="B184" i="3" s="1"/>
  <c r="E191" i="3"/>
  <c r="G181" i="3" s="1"/>
  <c r="G182" i="3" s="1"/>
  <c r="D13" i="4" s="1"/>
  <c r="D200" i="3"/>
  <c r="B207" i="3"/>
  <c r="D252" i="3"/>
  <c r="E287" i="3"/>
  <c r="G277" i="3" s="1"/>
  <c r="G278" i="3" s="1"/>
  <c r="D19" i="4" s="1"/>
  <c r="C280" i="3"/>
  <c r="B280" i="3" s="1"/>
  <c r="G300" i="3"/>
  <c r="D300" i="3"/>
  <c r="G136" i="3"/>
  <c r="E175" i="3"/>
  <c r="G165" i="3" s="1"/>
  <c r="G166" i="3" s="1"/>
  <c r="D12" i="4" s="1"/>
  <c r="G189" i="3"/>
  <c r="G205" i="3"/>
  <c r="D205" i="3"/>
  <c r="E207" i="3"/>
  <c r="G197" i="3" s="1"/>
  <c r="G198" i="3" s="1"/>
  <c r="D14" i="4" s="1"/>
  <c r="E223" i="3"/>
  <c r="G213" i="3" s="1"/>
  <c r="G214" i="3" s="1"/>
  <c r="D15" i="4" s="1"/>
  <c r="G281" i="3"/>
  <c r="D281" i="3"/>
  <c r="D284" i="3"/>
  <c r="G284" i="3"/>
  <c r="E127" i="3"/>
  <c r="G117" i="3" s="1"/>
  <c r="G118" i="3" s="1"/>
  <c r="D9" i="4" s="1"/>
  <c r="D141" i="3"/>
  <c r="G154" i="3"/>
  <c r="G168" i="3"/>
  <c r="D168" i="3"/>
  <c r="D185" i="3"/>
  <c r="G185" i="3"/>
  <c r="G200" i="3"/>
  <c r="D202" i="3"/>
  <c r="G202" i="3"/>
  <c r="G302" i="3"/>
  <c r="D302" i="3"/>
  <c r="G317" i="3"/>
  <c r="D317" i="3"/>
  <c r="G108" i="3"/>
  <c r="G140" i="3"/>
  <c r="D140" i="3"/>
  <c r="D174" i="3"/>
  <c r="G174" i="3"/>
  <c r="G186" i="3"/>
  <c r="D186" i="3"/>
  <c r="G251" i="3"/>
  <c r="D251" i="3"/>
  <c r="D314" i="3"/>
  <c r="G314" i="3"/>
  <c r="D188" i="3"/>
  <c r="G190" i="3"/>
  <c r="D203" i="3"/>
  <c r="G203" i="3"/>
  <c r="D216" i="3"/>
  <c r="G218" i="3"/>
  <c r="D220" i="3"/>
  <c r="G220" i="3"/>
  <c r="E239" i="3"/>
  <c r="G229" i="3" s="1"/>
  <c r="G230" i="3" s="1"/>
  <c r="D16" i="4" s="1"/>
  <c r="C248" i="3"/>
  <c r="B248" i="3" s="1"/>
  <c r="B255" i="3" s="1"/>
  <c r="E255" i="3"/>
  <c r="G245" i="3" s="1"/>
  <c r="G246" i="3" s="1"/>
  <c r="D17" i="4" s="1"/>
  <c r="D266" i="3"/>
  <c r="D283" i="3"/>
  <c r="C217" i="3"/>
  <c r="B217" i="3" s="1"/>
  <c r="B223" i="3" s="1"/>
  <c r="C235" i="3"/>
  <c r="B235" i="3" s="1"/>
  <c r="C296" i="3"/>
  <c r="B296" i="3" s="1"/>
  <c r="B303" i="3" s="1"/>
  <c r="D316" i="3"/>
  <c r="D173" i="3" l="1"/>
  <c r="D175" i="3" s="1"/>
  <c r="G173" i="3"/>
  <c r="G175" i="3" s="1"/>
  <c r="D126" i="3"/>
  <c r="G126" i="3"/>
  <c r="B175" i="3"/>
  <c r="B63" i="3"/>
  <c r="D219" i="3"/>
  <c r="G219" i="3"/>
  <c r="D73" i="3"/>
  <c r="G73" i="3"/>
  <c r="D121" i="3"/>
  <c r="G121" i="3"/>
  <c r="B127" i="3"/>
  <c r="D265" i="3"/>
  <c r="G76" i="3"/>
  <c r="G313" i="3"/>
  <c r="D313" i="3"/>
  <c r="D76" i="3"/>
  <c r="D78" i="3"/>
  <c r="D298" i="3"/>
  <c r="G298" i="3"/>
  <c r="D62" i="3"/>
  <c r="D63" i="3" s="1"/>
  <c r="G62" i="3"/>
  <c r="G152" i="3"/>
  <c r="G159" i="3" s="1"/>
  <c r="H153" i="3" s="1"/>
  <c r="B159" i="3"/>
  <c r="G15" i="3"/>
  <c r="G16" i="3" s="1"/>
  <c r="G286" i="3"/>
  <c r="D201" i="3"/>
  <c r="G201" i="3"/>
  <c r="D127" i="3"/>
  <c r="D270" i="3"/>
  <c r="G270" i="3"/>
  <c r="D75" i="3"/>
  <c r="G75" i="3"/>
  <c r="H14" i="3"/>
  <c r="H8" i="3"/>
  <c r="D264" i="3"/>
  <c r="G264" i="3"/>
  <c r="G312" i="3"/>
  <c r="D312" i="3"/>
  <c r="D319" i="3" s="1"/>
  <c r="G207" i="3"/>
  <c r="H202" i="3" s="1"/>
  <c r="H10" i="3"/>
  <c r="G235" i="3"/>
  <c r="D235" i="3"/>
  <c r="D239" i="3" s="1"/>
  <c r="B319" i="3"/>
  <c r="G47" i="3"/>
  <c r="H46" i="3" s="1"/>
  <c r="H27" i="3"/>
  <c r="G31" i="3"/>
  <c r="H26" i="3" s="1"/>
  <c r="H24" i="3"/>
  <c r="D248" i="3"/>
  <c r="D255" i="3" s="1"/>
  <c r="G248" i="3"/>
  <c r="D47" i="3"/>
  <c r="G143" i="3"/>
  <c r="H139" i="3" s="1"/>
  <c r="H136" i="3"/>
  <c r="D184" i="3"/>
  <c r="D191" i="3" s="1"/>
  <c r="G184" i="3"/>
  <c r="G127" i="3"/>
  <c r="B239" i="3"/>
  <c r="H92" i="3"/>
  <c r="H13" i="3"/>
  <c r="H25" i="3"/>
  <c r="G296" i="3"/>
  <c r="D296" i="3"/>
  <c r="D303" i="3" s="1"/>
  <c r="D138" i="3"/>
  <c r="D143" i="3" s="1"/>
  <c r="G138" i="3"/>
  <c r="D280" i="3"/>
  <c r="D287" i="3" s="1"/>
  <c r="G280" i="3"/>
  <c r="B191" i="3"/>
  <c r="H12" i="3"/>
  <c r="G79" i="3"/>
  <c r="H77" i="3" s="1"/>
  <c r="H9" i="3"/>
  <c r="G161" i="3"/>
  <c r="F11" i="4" s="1"/>
  <c r="H140" i="3"/>
  <c r="D207" i="3"/>
  <c r="B271" i="3"/>
  <c r="G95" i="3"/>
  <c r="H88" i="3" s="1"/>
  <c r="G217" i="3"/>
  <c r="D217" i="3"/>
  <c r="D223" i="3" s="1"/>
  <c r="B287" i="3"/>
  <c r="H156" i="3"/>
  <c r="D105" i="3"/>
  <c r="D111" i="3" s="1"/>
  <c r="G105" i="3"/>
  <c r="G239" i="3"/>
  <c r="H11" i="3"/>
  <c r="G63" i="3"/>
  <c r="H59" i="3" s="1"/>
  <c r="H56" i="3" l="1"/>
  <c r="H152" i="3"/>
  <c r="D271" i="3"/>
  <c r="G160" i="3"/>
  <c r="H154" i="3"/>
  <c r="H41" i="3"/>
  <c r="H76" i="3"/>
  <c r="H158" i="3"/>
  <c r="H30" i="3"/>
  <c r="G17" i="3"/>
  <c r="F2" i="4" s="1"/>
  <c r="H45" i="3"/>
  <c r="H157" i="3"/>
  <c r="H155" i="3"/>
  <c r="D79" i="3"/>
  <c r="G191" i="3"/>
  <c r="H184" i="3"/>
  <c r="G240" i="3"/>
  <c r="H237" i="3"/>
  <c r="G241" i="3"/>
  <c r="F16" i="4" s="1"/>
  <c r="G176" i="3"/>
  <c r="G177" i="3"/>
  <c r="F12" i="4" s="1"/>
  <c r="H170" i="3"/>
  <c r="H173" i="3"/>
  <c r="H172" i="3"/>
  <c r="G209" i="3"/>
  <c r="F14" i="4" s="1"/>
  <c r="G208" i="3"/>
  <c r="H201" i="3"/>
  <c r="H206" i="3"/>
  <c r="G65" i="3"/>
  <c r="F5" i="4" s="1"/>
  <c r="H60" i="3"/>
  <c r="G64" i="3"/>
  <c r="H62" i="3"/>
  <c r="H58" i="3"/>
  <c r="H61" i="3"/>
  <c r="H174" i="3"/>
  <c r="H57" i="3"/>
  <c r="G255" i="3"/>
  <c r="H248" i="3" s="1"/>
  <c r="G33" i="3"/>
  <c r="F3" i="4" s="1"/>
  <c r="G32" i="3"/>
  <c r="H28" i="3"/>
  <c r="H31" i="3" s="1"/>
  <c r="H29" i="3"/>
  <c r="G111" i="3"/>
  <c r="H105" i="3" s="1"/>
  <c r="H200" i="3"/>
  <c r="G271" i="3"/>
  <c r="H11" i="4"/>
  <c r="I11" i="4"/>
  <c r="G128" i="3"/>
  <c r="G129" i="3"/>
  <c r="F9" i="4" s="1"/>
  <c r="H124" i="3"/>
  <c r="H125" i="3"/>
  <c r="H126" i="3"/>
  <c r="H121" i="3"/>
  <c r="H123" i="3"/>
  <c r="G319" i="3"/>
  <c r="G48" i="3"/>
  <c r="G49" i="3"/>
  <c r="F4" i="4" s="1"/>
  <c r="H43" i="3"/>
  <c r="H94" i="3"/>
  <c r="H171" i="3"/>
  <c r="H40" i="3"/>
  <c r="H234" i="3"/>
  <c r="H15" i="3"/>
  <c r="H233" i="3"/>
  <c r="H122" i="3"/>
  <c r="G287" i="3"/>
  <c r="H280" i="3"/>
  <c r="G80" i="3"/>
  <c r="G81" i="3"/>
  <c r="F6" i="4" s="1"/>
  <c r="H74" i="3"/>
  <c r="H75" i="3"/>
  <c r="H73" i="3"/>
  <c r="H72" i="3"/>
  <c r="G144" i="3"/>
  <c r="G145" i="3"/>
  <c r="F10" i="4" s="1"/>
  <c r="H137" i="3"/>
  <c r="H141" i="3"/>
  <c r="G223" i="3"/>
  <c r="H217" i="3" s="1"/>
  <c r="H204" i="3"/>
  <c r="H42" i="3"/>
  <c r="H236" i="3"/>
  <c r="H44" i="3"/>
  <c r="H203" i="3"/>
  <c r="H142" i="3"/>
  <c r="G303" i="3"/>
  <c r="H296" i="3"/>
  <c r="H143" i="3"/>
  <c r="H235" i="3"/>
  <c r="H169" i="3"/>
  <c r="H232" i="3"/>
  <c r="G96" i="3"/>
  <c r="G97" i="3"/>
  <c r="F7" i="4" s="1"/>
  <c r="H90" i="3"/>
  <c r="H91" i="3"/>
  <c r="H93" i="3"/>
  <c r="H89" i="3"/>
  <c r="H95" i="3" s="1"/>
  <c r="H138" i="3"/>
  <c r="H120" i="3"/>
  <c r="H238" i="3"/>
  <c r="H205" i="3"/>
  <c r="H78" i="3"/>
  <c r="H168" i="3"/>
  <c r="H2" i="4"/>
  <c r="I2" i="4"/>
  <c r="H207" i="3" l="1"/>
  <c r="H63" i="3"/>
  <c r="H159" i="3"/>
  <c r="H79" i="3"/>
  <c r="H9" i="4"/>
  <c r="I9" i="4"/>
  <c r="I12" i="4"/>
  <c r="H12" i="4"/>
  <c r="I16" i="4"/>
  <c r="H16" i="4"/>
  <c r="G321" i="3"/>
  <c r="F21" i="4" s="1"/>
  <c r="G320" i="3"/>
  <c r="H316" i="3"/>
  <c r="H318" i="3"/>
  <c r="H313" i="3"/>
  <c r="H314" i="3"/>
  <c r="H317" i="3"/>
  <c r="H315" i="3"/>
  <c r="H312" i="3"/>
  <c r="H14" i="4"/>
  <c r="I14" i="4"/>
  <c r="I4" i="4"/>
  <c r="H4" i="4"/>
  <c r="H175" i="3"/>
  <c r="G224" i="3"/>
  <c r="G225" i="3"/>
  <c r="F15" i="4" s="1"/>
  <c r="H219" i="3"/>
  <c r="H216" i="3"/>
  <c r="H220" i="3"/>
  <c r="H222" i="3"/>
  <c r="H221" i="3"/>
  <c r="H218" i="3"/>
  <c r="G305" i="3"/>
  <c r="F20" i="4" s="1"/>
  <c r="G304" i="3"/>
  <c r="H301" i="3"/>
  <c r="H298" i="3"/>
  <c r="H302" i="3"/>
  <c r="H297" i="3"/>
  <c r="H300" i="3"/>
  <c r="H299" i="3"/>
  <c r="H47" i="3"/>
  <c r="I3" i="4"/>
  <c r="H3" i="4"/>
  <c r="H5" i="4"/>
  <c r="I5" i="4"/>
  <c r="H6" i="4"/>
  <c r="I6" i="4"/>
  <c r="H127" i="3"/>
  <c r="H239" i="3"/>
  <c r="G112" i="3"/>
  <c r="G113" i="3"/>
  <c r="F8" i="4" s="1"/>
  <c r="H106" i="3"/>
  <c r="H109" i="3"/>
  <c r="H107" i="3"/>
  <c r="H108" i="3"/>
  <c r="H110" i="3"/>
  <c r="H104" i="3"/>
  <c r="I7" i="4"/>
  <c r="H7" i="4"/>
  <c r="I10" i="4"/>
  <c r="H10" i="4"/>
  <c r="G272" i="3"/>
  <c r="H267" i="3"/>
  <c r="G273" i="3"/>
  <c r="F18" i="4" s="1"/>
  <c r="H266" i="3"/>
  <c r="H270" i="3"/>
  <c r="H265" i="3"/>
  <c r="H269" i="3"/>
  <c r="H268" i="3"/>
  <c r="G288" i="3"/>
  <c r="G289" i="3"/>
  <c r="F19" i="4" s="1"/>
  <c r="H283" i="3"/>
  <c r="H286" i="3"/>
  <c r="H285" i="3"/>
  <c r="H282" i="3"/>
  <c r="H281" i="3"/>
  <c r="H284" i="3"/>
  <c r="H264" i="3"/>
  <c r="G257" i="3"/>
  <c r="F17" i="4" s="1"/>
  <c r="G256" i="3"/>
  <c r="H254" i="3"/>
  <c r="H252" i="3"/>
  <c r="H253" i="3"/>
  <c r="H250" i="3"/>
  <c r="H251" i="3"/>
  <c r="H249" i="3"/>
  <c r="H255" i="3" s="1"/>
  <c r="G193" i="3"/>
  <c r="F13" i="4" s="1"/>
  <c r="G192" i="3"/>
  <c r="H188" i="3"/>
  <c r="H189" i="3"/>
  <c r="H187" i="3"/>
  <c r="H190" i="3"/>
  <c r="H186" i="3"/>
  <c r="H185" i="3"/>
  <c r="H303" i="3" l="1"/>
  <c r="H223" i="3"/>
  <c r="H319" i="3"/>
  <c r="H287" i="3"/>
  <c r="H191" i="3"/>
  <c r="H111" i="3"/>
  <c r="I18" i="4"/>
  <c r="H18" i="4"/>
  <c r="H21" i="4"/>
  <c r="I21" i="4"/>
  <c r="H13" i="4"/>
  <c r="I13" i="4"/>
  <c r="H17" i="4"/>
  <c r="I17" i="4"/>
  <c r="I19" i="4"/>
  <c r="H19" i="4"/>
  <c r="I15" i="4"/>
  <c r="H15" i="4"/>
  <c r="H271" i="3"/>
  <c r="I20" i="4"/>
  <c r="H20" i="4"/>
  <c r="I8" i="4"/>
  <c r="H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Orden Financiero</author>
  </authors>
  <commentList>
    <comment ref="A156" authorId="0" shapeId="0" xr:uid="{00000000-0006-0000-0100-000001000000}">
      <text>
        <r>
          <rPr>
            <sz val="10"/>
            <color rgb="FF000000"/>
            <rFont val="Arial"/>
            <scheme val="minor"/>
          </rPr>
          <t>Fila libre: estaba duplicada (Jugo de limón)</t>
        </r>
      </text>
    </comment>
    <comment ref="A159" authorId="0" shapeId="0" xr:uid="{00000000-0006-0000-0100-000002000000}">
      <text>
        <r>
          <rPr>
            <sz val="10"/>
            <color rgb="FF000000"/>
            <rFont val="Arial"/>
            <scheme val="minor"/>
          </rPr>
          <t>Fila libre: estaba duplicada (Almidón de maíz (maicena))</t>
        </r>
      </text>
    </comment>
    <comment ref="A163" authorId="0" shapeId="0" xr:uid="{00000000-0006-0000-0100-000003000000}">
      <text>
        <r>
          <rPr>
            <sz val="10"/>
            <color rgb="FF000000"/>
            <rFont val="Arial"/>
            <scheme val="minor"/>
          </rPr>
          <t>Fila libre: estaba duplicada (Mandioca)</t>
        </r>
      </text>
    </comment>
    <comment ref="A184" authorId="0" shapeId="0" xr:uid="{00000000-0006-0000-0100-000004000000}">
      <text>
        <r>
          <rPr>
            <sz val="10"/>
            <color rgb="FF000000"/>
            <rFont val="Arial"/>
            <scheme val="minor"/>
          </rPr>
          <t>Fila libre: estaba duplicada (Mozzarella)</t>
        </r>
      </text>
    </comment>
    <comment ref="A211" authorId="0" shapeId="0" xr:uid="{00000000-0006-0000-0100-000005000000}">
      <text>
        <r>
          <rPr>
            <sz val="10"/>
            <color rgb="FF000000"/>
            <rFont val="Arial"/>
            <scheme val="minor"/>
          </rPr>
          <t>Fila libre: estaba duplicada (Perca)</t>
        </r>
      </text>
    </comment>
    <comment ref="A266" authorId="0" shapeId="0" xr:uid="{00000000-0006-0000-0100-000006000000}">
      <text>
        <r>
          <rPr>
            <sz val="10"/>
            <color rgb="FF000000"/>
            <rFont val="Arial"/>
            <scheme val="minor"/>
          </rPr>
          <t>Fila libre: estaba duplicada (Lomo (vacuno))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Orden Financiero</author>
  </authors>
  <commentList>
    <comment ref="L2" authorId="0" shapeId="0" xr:uid="{00000000-0006-0000-0300-000001000000}">
      <text>
        <r>
          <rPr>
            <sz val="10"/>
            <color rgb="FF000000"/>
            <rFont val="Arial"/>
            <scheme val="minor"/>
          </rPr>
          <t>Responsable inscripto: la planilla le saca el 21 % de IVA al precio de venta. Monotributista: usa el precio completo. Si tenés dudas sobre tu condición, consultalo con tu contador.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Orden Financiero</author>
  </authors>
  <commentList>
    <comment ref="B2" authorId="0" shapeId="0" xr:uid="{00000000-0006-0000-0400-000001000000}">
      <text>
        <r>
          <rPr>
            <sz val="10"/>
            <color rgb="FF000000"/>
            <rFont val="Arial"/>
            <scheme val="minor"/>
          </rPr>
          <t>Corregida el 16/09/2026: antes 7 %</t>
        </r>
      </text>
    </comment>
    <comment ref="B3" authorId="0" shapeId="0" xr:uid="{00000000-0006-0000-0400-000002000000}">
      <text>
        <r>
          <rPr>
            <sz val="10"/>
            <color rgb="FF000000"/>
            <rFont val="Arial"/>
            <scheme val="minor"/>
          </rPr>
          <t>Corregida el 16/09/2026: antes 5 %</t>
        </r>
      </text>
    </comment>
    <comment ref="B4" authorId="0" shapeId="0" xr:uid="{00000000-0006-0000-0400-000003000000}">
      <text>
        <r>
          <rPr>
            <sz val="10"/>
            <color rgb="FF000000"/>
            <rFont val="Arial"/>
            <scheme val="minor"/>
          </rPr>
          <t>Corregida el 16/09/2026: antes 5 %</t>
        </r>
      </text>
    </comment>
    <comment ref="B6" authorId="0" shapeId="0" xr:uid="{00000000-0006-0000-0400-000004000000}">
      <text>
        <r>
          <rPr>
            <sz val="10"/>
            <color rgb="FF000000"/>
            <rFont val="Arial"/>
            <scheme val="minor"/>
          </rPr>
          <t>Corregida el 16/09/2026: antes 5 %</t>
        </r>
      </text>
    </comment>
    <comment ref="B8" authorId="0" shapeId="0" xr:uid="{00000000-0006-0000-0400-000005000000}">
      <text>
        <r>
          <rPr>
            <sz val="10"/>
            <color rgb="FF000000"/>
            <rFont val="Arial"/>
            <scheme val="minor"/>
          </rPr>
          <t>Corregida el 16/09/2026: antes 5 %</t>
        </r>
      </text>
    </comment>
    <comment ref="B10" authorId="0" shapeId="0" xr:uid="{00000000-0006-0000-0400-000006000000}">
      <text>
        <r>
          <rPr>
            <sz val="10"/>
            <color rgb="FF000000"/>
            <rFont val="Arial"/>
            <scheme val="minor"/>
          </rPr>
          <t>Corregida el 16/09/2026: antes 20 %</t>
        </r>
      </text>
    </comment>
    <comment ref="B11" authorId="0" shapeId="0" xr:uid="{00000000-0006-0000-0400-000007000000}">
      <text>
        <r>
          <rPr>
            <sz val="10"/>
            <color rgb="FF000000"/>
            <rFont val="Arial"/>
            <scheme val="minor"/>
          </rPr>
          <t>Corregida el 16/09/2026: antes 5 %</t>
        </r>
      </text>
    </comment>
    <comment ref="B14" authorId="0" shapeId="0" xr:uid="{00000000-0006-0000-0400-000008000000}">
      <text>
        <r>
          <rPr>
            <sz val="10"/>
            <color rgb="FF000000"/>
            <rFont val="Arial"/>
            <scheme val="minor"/>
          </rPr>
          <t>Corregida el 16/09/2026: antes 0,48 %</t>
        </r>
      </text>
    </comment>
    <comment ref="B15" authorId="0" shapeId="0" xr:uid="{00000000-0006-0000-0400-000009000000}">
      <text>
        <r>
          <rPr>
            <sz val="10"/>
            <color rgb="FF000000"/>
            <rFont val="Arial"/>
            <scheme val="minor"/>
          </rPr>
          <t>Corregida el 16/09/2026: antes 10 %</t>
        </r>
      </text>
    </comment>
    <comment ref="B16" authorId="0" shapeId="0" xr:uid="{00000000-0006-0000-0400-00000A000000}">
      <text>
        <r>
          <rPr>
            <sz val="10"/>
            <color rgb="FF000000"/>
            <rFont val="Arial"/>
            <scheme val="minor"/>
          </rPr>
          <t>Corregida el 16/09/2026: antes 5 %</t>
        </r>
      </text>
    </comment>
    <comment ref="B19" authorId="0" shapeId="0" xr:uid="{00000000-0006-0000-0400-00000B000000}">
      <text>
        <r>
          <rPr>
            <sz val="10"/>
            <color rgb="FF000000"/>
            <rFont val="Arial"/>
            <scheme val="minor"/>
          </rPr>
          <t>Corregida el 16/09/2026: antes 5 %</t>
        </r>
      </text>
    </comment>
    <comment ref="B20" authorId="0" shapeId="0" xr:uid="{00000000-0006-0000-0400-00000C000000}">
      <text>
        <r>
          <rPr>
            <sz val="10"/>
            <color rgb="FF000000"/>
            <rFont val="Arial"/>
            <scheme val="minor"/>
          </rPr>
          <t>Corregida el 16/09/2026: antes 5 %</t>
        </r>
      </text>
    </comment>
    <comment ref="B21" authorId="0" shapeId="0" xr:uid="{00000000-0006-0000-0400-00000D000000}">
      <text>
        <r>
          <rPr>
            <sz val="10"/>
            <color rgb="FF000000"/>
            <rFont val="Arial"/>
            <scheme val="minor"/>
          </rPr>
          <t>Corregida el 16/09/2026: antes 5 %</t>
        </r>
      </text>
    </comment>
    <comment ref="B22" authorId="0" shapeId="0" xr:uid="{00000000-0006-0000-0400-00000E000000}">
      <text>
        <r>
          <rPr>
            <sz val="10"/>
            <color rgb="FF000000"/>
            <rFont val="Arial"/>
            <scheme val="minor"/>
          </rPr>
          <t>Corregida el 16/09/2026: antes 5 %</t>
        </r>
      </text>
    </comment>
    <comment ref="B24" authorId="0" shapeId="0" xr:uid="{00000000-0006-0000-0400-00000F000000}">
      <text>
        <r>
          <rPr>
            <sz val="10"/>
            <color rgb="FF000000"/>
            <rFont val="Arial"/>
            <scheme val="minor"/>
          </rPr>
          <t>Corregida el 16/09/2026: antes 24 %</t>
        </r>
      </text>
    </comment>
    <comment ref="B29" authorId="0" shapeId="0" xr:uid="{00000000-0006-0000-0400-000010000000}">
      <text>
        <r>
          <rPr>
            <sz val="10"/>
            <color rgb="FF000000"/>
            <rFont val="Arial"/>
            <scheme val="minor"/>
          </rPr>
          <t>Corregida el 16/09/2026: antes 5 %</t>
        </r>
      </text>
    </comment>
    <comment ref="B31" authorId="0" shapeId="0" xr:uid="{00000000-0006-0000-0400-000011000000}">
      <text>
        <r>
          <rPr>
            <sz val="10"/>
            <color rgb="FF000000"/>
            <rFont val="Arial"/>
            <scheme val="minor"/>
          </rPr>
          <t>Corregida el 16/09/2026: antes 5 %</t>
        </r>
      </text>
    </comment>
    <comment ref="B32" authorId="0" shapeId="0" xr:uid="{00000000-0006-0000-0400-000012000000}">
      <text>
        <r>
          <rPr>
            <sz val="10"/>
            <color rgb="FF000000"/>
            <rFont val="Arial"/>
            <scheme val="minor"/>
          </rPr>
          <t>Corregida el 16/09/2026: antes 5 %</t>
        </r>
      </text>
    </comment>
    <comment ref="B33" authorId="0" shapeId="0" xr:uid="{00000000-0006-0000-0400-000013000000}">
      <text>
        <r>
          <rPr>
            <sz val="10"/>
            <color rgb="FF000000"/>
            <rFont val="Arial"/>
            <scheme val="minor"/>
          </rPr>
          <t>Corregida el 16/09/2026: antes 5 %</t>
        </r>
      </text>
    </comment>
    <comment ref="B34" authorId="0" shapeId="0" xr:uid="{00000000-0006-0000-0400-000014000000}">
      <text>
        <r>
          <rPr>
            <sz val="10"/>
            <color rgb="FF000000"/>
            <rFont val="Arial"/>
            <scheme val="minor"/>
          </rPr>
          <t>Corregida el 16/09/2026: antes 5 %</t>
        </r>
      </text>
    </comment>
    <comment ref="B35" authorId="0" shapeId="0" xr:uid="{00000000-0006-0000-0400-000015000000}">
      <text>
        <r>
          <rPr>
            <sz val="10"/>
            <color rgb="FF000000"/>
            <rFont val="Arial"/>
            <scheme val="minor"/>
          </rPr>
          <t>Corregida el 16/09/2026: antes 5 %</t>
        </r>
      </text>
    </comment>
    <comment ref="B36" authorId="0" shapeId="0" xr:uid="{00000000-0006-0000-0400-000016000000}">
      <text>
        <r>
          <rPr>
            <sz val="10"/>
            <color rgb="FF000000"/>
            <rFont val="Arial"/>
            <scheme val="minor"/>
          </rPr>
          <t>Corregida el 16/09/2026: antes 5 %</t>
        </r>
      </text>
    </comment>
    <comment ref="B44" authorId="0" shapeId="0" xr:uid="{00000000-0006-0000-0400-000017000000}">
      <text>
        <r>
          <rPr>
            <sz val="10"/>
            <color rgb="FF000000"/>
            <rFont val="Arial"/>
            <scheme val="minor"/>
          </rPr>
          <t>Corregida el 16/09/2026: antes 0 %</t>
        </r>
      </text>
    </comment>
    <comment ref="B45" authorId="0" shapeId="0" xr:uid="{00000000-0006-0000-0400-000018000000}">
      <text>
        <r>
          <rPr>
            <sz val="10"/>
            <color rgb="FF000000"/>
            <rFont val="Arial"/>
            <scheme val="minor"/>
          </rPr>
          <t>Corregida el 16/09/2026: antes estaba escrito como texto ("5%%") y la receta daba error. Queda 0 %, como los demás líquidos envasados.</t>
        </r>
      </text>
    </comment>
    <comment ref="B49" authorId="0" shapeId="0" xr:uid="{00000000-0006-0000-0400-000019000000}">
      <text>
        <r>
          <rPr>
            <sz val="10"/>
            <color rgb="FF000000"/>
            <rFont val="Arial"/>
            <scheme val="minor"/>
          </rPr>
          <t>Corregida el 16/09/2026: antes 5 %</t>
        </r>
      </text>
    </comment>
    <comment ref="B50" authorId="0" shapeId="0" xr:uid="{00000000-0006-0000-0400-00001A000000}">
      <text>
        <r>
          <rPr>
            <sz val="10"/>
            <color rgb="FF000000"/>
            <rFont val="Arial"/>
            <scheme val="minor"/>
          </rPr>
          <t>Corregida el 16/09/2026: antes 5 %</t>
        </r>
      </text>
    </comment>
    <comment ref="B51" authorId="0" shapeId="0" xr:uid="{00000000-0006-0000-0400-00001B000000}">
      <text>
        <r>
          <rPr>
            <sz val="10"/>
            <color rgb="FF000000"/>
            <rFont val="Arial"/>
            <scheme val="minor"/>
          </rPr>
          <t>Corregida el 16/09/2026: antes 5 %</t>
        </r>
      </text>
    </comment>
    <comment ref="B54" authorId="0" shapeId="0" xr:uid="{00000000-0006-0000-0400-00001C000000}">
      <text>
        <r>
          <rPr>
            <sz val="10"/>
            <color rgb="FF000000"/>
            <rFont val="Arial"/>
            <scheme val="minor"/>
          </rPr>
          <t>Corregida el 16/09/2026: antes 5 %</t>
        </r>
      </text>
    </comment>
    <comment ref="B55" authorId="0" shapeId="0" xr:uid="{00000000-0006-0000-0400-00001D000000}">
      <text>
        <r>
          <rPr>
            <sz val="10"/>
            <color rgb="FF000000"/>
            <rFont val="Arial"/>
            <scheme val="minor"/>
          </rPr>
          <t>Corregida el 16/09/2026: antes 5 %</t>
        </r>
      </text>
    </comment>
    <comment ref="B57" authorId="0" shapeId="0" xr:uid="{00000000-0006-0000-0400-00001E000000}">
      <text>
        <r>
          <rPr>
            <sz val="10"/>
            <color rgb="FF000000"/>
            <rFont val="Arial"/>
            <scheme val="minor"/>
          </rPr>
          <t>Corregida el 16/09/2026: antes 10 %</t>
        </r>
      </text>
    </comment>
    <comment ref="B68" authorId="0" shapeId="0" xr:uid="{00000000-0006-0000-0400-00001F000000}">
      <text>
        <r>
          <rPr>
            <sz val="10"/>
            <color rgb="FF000000"/>
            <rFont val="Arial"/>
            <scheme val="minor"/>
          </rPr>
          <t>Corregida el 16/09/2026: antes 5 %</t>
        </r>
      </text>
    </comment>
    <comment ref="B69" authorId="0" shapeId="0" xr:uid="{00000000-0006-0000-0400-000020000000}">
      <text>
        <r>
          <rPr>
            <sz val="10"/>
            <color rgb="FF000000"/>
            <rFont val="Arial"/>
            <scheme val="minor"/>
          </rPr>
          <t>Corregida el 16/09/2026: antes 5 %</t>
        </r>
      </text>
    </comment>
    <comment ref="B70" authorId="0" shapeId="0" xr:uid="{00000000-0006-0000-0400-000021000000}">
      <text>
        <r>
          <rPr>
            <sz val="10"/>
            <color rgb="FF000000"/>
            <rFont val="Arial"/>
            <scheme val="minor"/>
          </rPr>
          <t>Corregida el 16/09/2026: antes 5 %</t>
        </r>
      </text>
    </comment>
    <comment ref="B71" authorId="0" shapeId="0" xr:uid="{00000000-0006-0000-0400-000022000000}">
      <text>
        <r>
          <rPr>
            <sz val="10"/>
            <color rgb="FF000000"/>
            <rFont val="Arial"/>
            <scheme val="minor"/>
          </rPr>
          <t>Corregida el 16/09/2026: antes 5 %</t>
        </r>
      </text>
    </comment>
    <comment ref="B74" authorId="0" shapeId="0" xr:uid="{00000000-0006-0000-0400-000023000000}">
      <text>
        <r>
          <rPr>
            <sz val="10"/>
            <color rgb="FF000000"/>
            <rFont val="Arial"/>
            <scheme val="minor"/>
          </rPr>
          <t>Corregida el 16/09/2026: antes 5 %</t>
        </r>
      </text>
    </comment>
    <comment ref="B75" authorId="0" shapeId="0" xr:uid="{00000000-0006-0000-0400-000024000000}">
      <text>
        <r>
          <rPr>
            <sz val="10"/>
            <color rgb="FF000000"/>
            <rFont val="Arial"/>
            <scheme val="minor"/>
          </rPr>
          <t>Corregida el 16/09/2026: antes 5 %</t>
        </r>
      </text>
    </comment>
    <comment ref="B77" authorId="0" shapeId="0" xr:uid="{00000000-0006-0000-0400-000025000000}">
      <text>
        <r>
          <rPr>
            <sz val="10"/>
            <color rgb="FF000000"/>
            <rFont val="Arial"/>
            <scheme val="minor"/>
          </rPr>
          <t>Corregida el 16/09/2026: antes 5 %</t>
        </r>
      </text>
    </comment>
    <comment ref="B80" authorId="0" shapeId="0" xr:uid="{00000000-0006-0000-0400-000026000000}">
      <text>
        <r>
          <rPr>
            <sz val="10"/>
            <color rgb="FF000000"/>
            <rFont val="Arial"/>
            <scheme val="minor"/>
          </rPr>
          <t>Corregida el 16/09/2026: antes 5 %</t>
        </r>
      </text>
    </comment>
    <comment ref="B85" authorId="0" shapeId="0" xr:uid="{00000000-0006-0000-0400-000027000000}">
      <text>
        <r>
          <rPr>
            <sz val="10"/>
            <color rgb="FF000000"/>
            <rFont val="Arial"/>
            <scheme val="minor"/>
          </rPr>
          <t>Corregida el 16/09/2026: antes 5 %</t>
        </r>
      </text>
    </comment>
    <comment ref="B88" authorId="0" shapeId="0" xr:uid="{00000000-0006-0000-0400-000028000000}">
      <text>
        <r>
          <rPr>
            <sz val="10"/>
            <color rgb="FF000000"/>
            <rFont val="Arial"/>
            <scheme val="minor"/>
          </rPr>
          <t>Corregida el 16/09/2026: antes 5 %</t>
        </r>
      </text>
    </comment>
    <comment ref="B89" authorId="0" shapeId="0" xr:uid="{00000000-0006-0000-0400-000029000000}">
      <text>
        <r>
          <rPr>
            <sz val="10"/>
            <color rgb="FF000000"/>
            <rFont val="Arial"/>
            <scheme val="minor"/>
          </rPr>
          <t>Corregida el 16/09/2026: antes 5 %</t>
        </r>
      </text>
    </comment>
    <comment ref="B95" authorId="0" shapeId="0" xr:uid="{00000000-0006-0000-0400-00002A000000}">
      <text>
        <r>
          <rPr>
            <sz val="10"/>
            <color rgb="FF000000"/>
            <rFont val="Arial"/>
            <scheme val="minor"/>
          </rPr>
          <t>Corregida el 16/09/2026: antes 5 %</t>
        </r>
      </text>
    </comment>
    <comment ref="B99" authorId="0" shapeId="0" xr:uid="{00000000-0006-0000-0400-00002B000000}">
      <text>
        <r>
          <rPr>
            <sz val="10"/>
            <color rgb="FF000000"/>
            <rFont val="Arial"/>
            <scheme val="minor"/>
          </rPr>
          <t>Corregida el 16/09/2026: antes 5 %</t>
        </r>
      </text>
    </comment>
    <comment ref="B100" authorId="0" shapeId="0" xr:uid="{00000000-0006-0000-0400-00002C000000}">
      <text>
        <r>
          <rPr>
            <sz val="10"/>
            <color rgb="FF000000"/>
            <rFont val="Arial"/>
            <scheme val="minor"/>
          </rPr>
          <t>Corregida el 16/09/2026: antes 5 %</t>
        </r>
      </text>
    </comment>
    <comment ref="B102" authorId="0" shapeId="0" xr:uid="{00000000-0006-0000-0400-00002D000000}">
      <text>
        <r>
          <rPr>
            <sz val="10"/>
            <color rgb="FF000000"/>
            <rFont val="Arial"/>
            <scheme val="minor"/>
          </rPr>
          <t>Corregida el 16/09/2026: antes 20 %</t>
        </r>
      </text>
    </comment>
    <comment ref="B103" authorId="0" shapeId="0" xr:uid="{00000000-0006-0000-0400-00002E000000}">
      <text>
        <r>
          <rPr>
            <sz val="10"/>
            <color rgb="FF000000"/>
            <rFont val="Arial"/>
            <scheme val="minor"/>
          </rPr>
          <t>Corregida el 16/09/2026: antes 20 %</t>
        </r>
      </text>
    </comment>
    <comment ref="B108" authorId="0" shapeId="0" xr:uid="{00000000-0006-0000-0400-00002F000000}">
      <text>
        <r>
          <rPr>
            <sz val="10"/>
            <color rgb="FF000000"/>
            <rFont val="Arial"/>
            <scheme val="minor"/>
          </rPr>
          <t>Corregida el 16/09/2026: antes 5 %</t>
        </r>
      </text>
    </comment>
    <comment ref="B110" authorId="0" shapeId="0" xr:uid="{00000000-0006-0000-0400-000030000000}">
      <text>
        <r>
          <rPr>
            <sz val="10"/>
            <color rgb="FF000000"/>
            <rFont val="Arial"/>
            <scheme val="minor"/>
          </rPr>
          <t>Corregida el 16/09/2026: antes 5 %</t>
        </r>
      </text>
    </comment>
    <comment ref="B111" authorId="0" shapeId="0" xr:uid="{00000000-0006-0000-0400-000031000000}">
      <text>
        <r>
          <rPr>
            <sz val="10"/>
            <color rgb="FF000000"/>
            <rFont val="Arial"/>
            <scheme val="minor"/>
          </rPr>
          <t>Corregida el 16/09/2026: antes 5 %</t>
        </r>
      </text>
    </comment>
    <comment ref="B115" authorId="0" shapeId="0" xr:uid="{00000000-0006-0000-0400-000032000000}">
      <text>
        <r>
          <rPr>
            <sz val="10"/>
            <color rgb="FF000000"/>
            <rFont val="Arial"/>
            <scheme val="minor"/>
          </rPr>
          <t>Corregida el 16/09/2026: antes 5 %</t>
        </r>
      </text>
    </comment>
    <comment ref="B116" authorId="0" shapeId="0" xr:uid="{00000000-0006-0000-0400-000033000000}">
      <text>
        <r>
          <rPr>
            <sz val="10"/>
            <color rgb="FF000000"/>
            <rFont val="Arial"/>
            <scheme val="minor"/>
          </rPr>
          <t>Corregida el 16/09/2026: antes 5 %</t>
        </r>
      </text>
    </comment>
    <comment ref="B117" authorId="0" shapeId="0" xr:uid="{00000000-0006-0000-0400-000034000000}">
      <text>
        <r>
          <rPr>
            <sz val="10"/>
            <color rgb="FF000000"/>
            <rFont val="Arial"/>
            <scheme val="minor"/>
          </rPr>
          <t>Corregida el 16/09/2026: antes 5 %</t>
        </r>
      </text>
    </comment>
    <comment ref="B118" authorId="0" shapeId="0" xr:uid="{00000000-0006-0000-0400-000035000000}">
      <text>
        <r>
          <rPr>
            <sz val="10"/>
            <color rgb="FF000000"/>
            <rFont val="Arial"/>
            <scheme val="minor"/>
          </rPr>
          <t>Corregida el 16/09/2026: antes 5 %</t>
        </r>
      </text>
    </comment>
    <comment ref="B119" authorId="0" shapeId="0" xr:uid="{00000000-0006-0000-0400-000036000000}">
      <text>
        <r>
          <rPr>
            <sz val="10"/>
            <color rgb="FF000000"/>
            <rFont val="Arial"/>
            <scheme val="minor"/>
          </rPr>
          <t>Corregida el 16/09/2026: antes 5 %</t>
        </r>
      </text>
    </comment>
    <comment ref="B120" authorId="0" shapeId="0" xr:uid="{00000000-0006-0000-0400-000037000000}">
      <text>
        <r>
          <rPr>
            <sz val="10"/>
            <color rgb="FF000000"/>
            <rFont val="Arial"/>
            <scheme val="minor"/>
          </rPr>
          <t>Corregida el 16/09/2026: antes 5 %</t>
        </r>
      </text>
    </comment>
    <comment ref="B125" authorId="0" shapeId="0" xr:uid="{00000000-0006-0000-0400-000038000000}">
      <text>
        <r>
          <rPr>
            <sz val="10"/>
            <color rgb="FF000000"/>
            <rFont val="Arial"/>
            <scheme val="minor"/>
          </rPr>
          <t>Corregida el 16/09/2026: antes 5 %</t>
        </r>
      </text>
    </comment>
    <comment ref="B130" authorId="0" shapeId="0" xr:uid="{00000000-0006-0000-0400-000039000000}">
      <text>
        <r>
          <rPr>
            <sz val="10"/>
            <color rgb="FF000000"/>
            <rFont val="Arial"/>
            <scheme val="minor"/>
          </rPr>
          <t>Corregida el 16/09/2026: antes 5 %</t>
        </r>
      </text>
    </comment>
    <comment ref="B131" authorId="0" shapeId="0" xr:uid="{00000000-0006-0000-0400-00003A000000}">
      <text>
        <r>
          <rPr>
            <sz val="10"/>
            <color rgb="FF000000"/>
            <rFont val="Arial"/>
            <scheme val="minor"/>
          </rPr>
          <t>Corregida el 16/09/2026: antes 5 %</t>
        </r>
      </text>
    </comment>
    <comment ref="B132" authorId="0" shapeId="0" xr:uid="{00000000-0006-0000-0400-00003B000000}">
      <text>
        <r>
          <rPr>
            <sz val="10"/>
            <color rgb="FF000000"/>
            <rFont val="Arial"/>
            <scheme val="minor"/>
          </rPr>
          <t>Corregida el 16/09/2026: antes 5 %</t>
        </r>
      </text>
    </comment>
    <comment ref="B133" authorId="0" shapeId="0" xr:uid="{00000000-0006-0000-0400-00003C000000}">
      <text>
        <r>
          <rPr>
            <sz val="10"/>
            <color rgb="FF000000"/>
            <rFont val="Arial"/>
            <scheme val="minor"/>
          </rPr>
          <t>Corregida el 16/09/2026: antes 5 %</t>
        </r>
      </text>
    </comment>
    <comment ref="B134" authorId="0" shapeId="0" xr:uid="{00000000-0006-0000-0400-00003D000000}">
      <text>
        <r>
          <rPr>
            <sz val="10"/>
            <color rgb="FF000000"/>
            <rFont val="Arial"/>
            <scheme val="minor"/>
          </rPr>
          <t>Corregida el 16/09/2026: antes 5 %</t>
        </r>
      </text>
    </comment>
    <comment ref="B135" authorId="0" shapeId="0" xr:uid="{00000000-0006-0000-0400-00003E000000}">
      <text>
        <r>
          <rPr>
            <sz val="10"/>
            <color rgb="FF000000"/>
            <rFont val="Arial"/>
            <scheme val="minor"/>
          </rPr>
          <t>Corregida el 16/09/2026: antes 5 %</t>
        </r>
      </text>
    </comment>
    <comment ref="B141" authorId="0" shapeId="0" xr:uid="{00000000-0006-0000-0400-00003F000000}">
      <text>
        <r>
          <rPr>
            <sz val="10"/>
            <color rgb="FF000000"/>
            <rFont val="Arial"/>
            <scheme val="minor"/>
          </rPr>
          <t>Corregida el 16/09/2026: antes 5 %</t>
        </r>
      </text>
    </comment>
    <comment ref="B142" authorId="0" shapeId="0" xr:uid="{00000000-0006-0000-0400-000040000000}">
      <text>
        <r>
          <rPr>
            <sz val="10"/>
            <color rgb="FF000000"/>
            <rFont val="Arial"/>
            <scheme val="minor"/>
          </rPr>
          <t>Corregida el 16/09/2026: antes 5 %</t>
        </r>
      </text>
    </comment>
    <comment ref="B143" authorId="0" shapeId="0" xr:uid="{00000000-0006-0000-0400-000041000000}">
      <text>
        <r>
          <rPr>
            <sz val="10"/>
            <color rgb="FF000000"/>
            <rFont val="Arial"/>
            <scheme val="minor"/>
          </rPr>
          <t>Corregida el 16/09/2026: antes 10 %</t>
        </r>
      </text>
    </comment>
    <comment ref="B145" authorId="0" shapeId="0" xr:uid="{00000000-0006-0000-0400-000042000000}">
      <text>
        <r>
          <rPr>
            <sz val="10"/>
            <color rgb="FF000000"/>
            <rFont val="Arial"/>
            <scheme val="minor"/>
          </rPr>
          <t>Corregida el 16/09/2026: antes 10 %</t>
        </r>
      </text>
    </comment>
    <comment ref="B147" authorId="0" shapeId="0" xr:uid="{00000000-0006-0000-0400-000043000000}">
      <text>
        <r>
          <rPr>
            <sz val="10"/>
            <color rgb="FF000000"/>
            <rFont val="Arial"/>
            <scheme val="minor"/>
          </rPr>
          <t>Corregida el 16/09/2026: antes 25 %</t>
        </r>
      </text>
    </comment>
    <comment ref="B148" authorId="0" shapeId="0" xr:uid="{00000000-0006-0000-0400-000044000000}">
      <text>
        <r>
          <rPr>
            <sz val="10"/>
            <color rgb="FF000000"/>
            <rFont val="Arial"/>
            <scheme val="minor"/>
          </rPr>
          <t>Corregida el 16/09/2026: antes 5 %</t>
        </r>
      </text>
    </comment>
    <comment ref="B149" authorId="0" shapeId="0" xr:uid="{00000000-0006-0000-0400-000045000000}">
      <text>
        <r>
          <rPr>
            <sz val="10"/>
            <color rgb="FF000000"/>
            <rFont val="Arial"/>
            <scheme val="minor"/>
          </rPr>
          <t>Corregida el 16/09/2026: antes 5 %</t>
        </r>
      </text>
    </comment>
    <comment ref="B150" authorId="0" shapeId="0" xr:uid="{00000000-0006-0000-0400-000046000000}">
      <text>
        <r>
          <rPr>
            <sz val="10"/>
            <color rgb="FF000000"/>
            <rFont val="Arial"/>
            <scheme val="minor"/>
          </rPr>
          <t>Corregida el 16/09/2026: antes 5 %</t>
        </r>
      </text>
    </comment>
    <comment ref="B151" authorId="0" shapeId="0" xr:uid="{00000000-0006-0000-0400-000047000000}">
      <text>
        <r>
          <rPr>
            <sz val="10"/>
            <color rgb="FF000000"/>
            <rFont val="Arial"/>
            <scheme val="minor"/>
          </rPr>
          <t>Corregida el 16/09/2026: antes 5 %</t>
        </r>
      </text>
    </comment>
    <comment ref="A156" authorId="0" shapeId="0" xr:uid="{00000000-0006-0000-0400-000048000000}">
      <text>
        <r>
          <rPr>
            <sz val="10"/>
            <color rgb="FF000000"/>
            <rFont val="Arial"/>
            <scheme val="minor"/>
          </rPr>
          <t>Fila libre: estaba duplicada (Jugo de limón)</t>
        </r>
      </text>
    </comment>
    <comment ref="B157" authorId="0" shapeId="0" xr:uid="{00000000-0006-0000-0400-000049000000}">
      <text>
        <r>
          <rPr>
            <sz val="10"/>
            <color rgb="FF000000"/>
            <rFont val="Arial"/>
            <scheme val="minor"/>
          </rPr>
          <t>Corregida el 16/09/2026: antes 4 %</t>
        </r>
      </text>
    </comment>
    <comment ref="A159" authorId="0" shapeId="0" xr:uid="{00000000-0006-0000-0400-00004A000000}">
      <text>
        <r>
          <rPr>
            <sz val="10"/>
            <color rgb="FF000000"/>
            <rFont val="Arial"/>
            <scheme val="minor"/>
          </rPr>
          <t>Fila libre: estaba duplicada (Almidón de maíz (maicena))</t>
        </r>
      </text>
    </comment>
    <comment ref="B160" authorId="0" shapeId="0" xr:uid="{00000000-0006-0000-0400-00004B000000}">
      <text>
        <r>
          <rPr>
            <sz val="10"/>
            <color rgb="FF000000"/>
            <rFont val="Arial"/>
            <scheme val="minor"/>
          </rPr>
          <t>Corregida el 16/09/2026: antes 5 %</t>
        </r>
      </text>
    </comment>
    <comment ref="A163" authorId="0" shapeId="0" xr:uid="{00000000-0006-0000-0400-00004C000000}">
      <text>
        <r>
          <rPr>
            <sz val="10"/>
            <color rgb="FF000000"/>
            <rFont val="Arial"/>
            <scheme val="minor"/>
          </rPr>
          <t>Fila libre: estaba duplicada (Mandioca)</t>
        </r>
      </text>
    </comment>
    <comment ref="B164" authorId="0" shapeId="0" xr:uid="{00000000-0006-0000-0400-00004D000000}">
      <text>
        <r>
          <rPr>
            <sz val="10"/>
            <color rgb="FF000000"/>
            <rFont val="Arial"/>
            <scheme val="minor"/>
          </rPr>
          <t>Corregida el 16/09/2026: antes 5 %</t>
        </r>
      </text>
    </comment>
    <comment ref="B165" authorId="0" shapeId="0" xr:uid="{00000000-0006-0000-0400-00004E000000}">
      <text>
        <r>
          <rPr>
            <sz val="10"/>
            <color rgb="FF000000"/>
            <rFont val="Arial"/>
            <scheme val="minor"/>
          </rPr>
          <t>Corregida el 16/09/2026: antes 5 %</t>
        </r>
      </text>
    </comment>
    <comment ref="B166" authorId="0" shapeId="0" xr:uid="{00000000-0006-0000-0400-00004F000000}">
      <text>
        <r>
          <rPr>
            <sz val="10"/>
            <color rgb="FF000000"/>
            <rFont val="Arial"/>
            <scheme val="minor"/>
          </rPr>
          <t>Corregida el 16/09/2026: antes 5 %</t>
        </r>
      </text>
    </comment>
    <comment ref="B168" authorId="0" shapeId="0" xr:uid="{00000000-0006-0000-0400-000050000000}">
      <text>
        <r>
          <rPr>
            <sz val="10"/>
            <color rgb="FF000000"/>
            <rFont val="Arial"/>
            <scheme val="minor"/>
          </rPr>
          <t>Corregida el 16/09/2026: antes 5 %</t>
        </r>
      </text>
    </comment>
    <comment ref="B170" authorId="0" shapeId="0" xr:uid="{00000000-0006-0000-0400-000051000000}">
      <text>
        <r>
          <rPr>
            <sz val="10"/>
            <color rgb="FF000000"/>
            <rFont val="Arial"/>
            <scheme val="minor"/>
          </rPr>
          <t>Corregida el 16/09/2026: antes 5 %</t>
        </r>
      </text>
    </comment>
    <comment ref="B171" authorId="0" shapeId="0" xr:uid="{00000000-0006-0000-0400-000052000000}">
      <text>
        <r>
          <rPr>
            <sz val="10"/>
            <color rgb="FF000000"/>
            <rFont val="Arial"/>
            <scheme val="minor"/>
          </rPr>
          <t>Corregida el 16/09/2026: antes 5 %</t>
        </r>
      </text>
    </comment>
    <comment ref="B175" authorId="0" shapeId="0" xr:uid="{00000000-0006-0000-0400-000053000000}">
      <text>
        <r>
          <rPr>
            <sz val="10"/>
            <color rgb="FF000000"/>
            <rFont val="Arial"/>
            <scheme val="minor"/>
          </rPr>
          <t>Corregida el 16/09/2026: antes 5 %</t>
        </r>
      </text>
    </comment>
    <comment ref="B176" authorId="0" shapeId="0" xr:uid="{00000000-0006-0000-0400-000054000000}">
      <text>
        <r>
          <rPr>
            <sz val="10"/>
            <color rgb="FF000000"/>
            <rFont val="Arial"/>
            <scheme val="minor"/>
          </rPr>
          <t>Corregida el 16/09/2026: antes 15 %</t>
        </r>
      </text>
    </comment>
    <comment ref="B178" authorId="0" shapeId="0" xr:uid="{00000000-0006-0000-0400-000055000000}">
      <text>
        <r>
          <rPr>
            <sz val="10"/>
            <color rgb="FF000000"/>
            <rFont val="Arial"/>
            <scheme val="minor"/>
          </rPr>
          <t>Corregida el 16/09/2026: antes 5 %</t>
        </r>
      </text>
    </comment>
    <comment ref="B183" authorId="0" shapeId="0" xr:uid="{00000000-0006-0000-0400-000056000000}">
      <text>
        <r>
          <rPr>
            <sz val="10"/>
            <color rgb="FF000000"/>
            <rFont val="Arial"/>
            <scheme val="minor"/>
          </rPr>
          <t>Corregida el 16/09/2026: antes 5 %</t>
        </r>
      </text>
    </comment>
    <comment ref="A184" authorId="0" shapeId="0" xr:uid="{00000000-0006-0000-0400-000057000000}">
      <text>
        <r>
          <rPr>
            <sz val="10"/>
            <color rgb="FF000000"/>
            <rFont val="Arial"/>
            <scheme val="minor"/>
          </rPr>
          <t>Fila libre: estaba duplicada (Mozzarella)</t>
        </r>
      </text>
    </comment>
    <comment ref="B190" authorId="0" shapeId="0" xr:uid="{00000000-0006-0000-0400-000058000000}">
      <text>
        <r>
          <rPr>
            <sz val="10"/>
            <color rgb="FF000000"/>
            <rFont val="Arial"/>
            <scheme val="minor"/>
          </rPr>
          <t>Corregida el 16/09/2026: antes 5 %</t>
        </r>
      </text>
    </comment>
    <comment ref="B191" authorId="0" shapeId="0" xr:uid="{00000000-0006-0000-0400-000059000000}">
      <text>
        <r>
          <rPr>
            <sz val="10"/>
            <color rgb="FF000000"/>
            <rFont val="Arial"/>
            <scheme val="minor"/>
          </rPr>
          <t>Corregida el 16/09/2026: antes 5 %</t>
        </r>
      </text>
    </comment>
    <comment ref="B193" authorId="0" shapeId="0" xr:uid="{00000000-0006-0000-0400-00005A000000}">
      <text>
        <r>
          <rPr>
            <sz val="10"/>
            <color rgb="FF000000"/>
            <rFont val="Arial"/>
            <scheme val="minor"/>
          </rPr>
          <t>Corregida el 16/09/2026: antes 5 %</t>
        </r>
      </text>
    </comment>
    <comment ref="B197" authorId="0" shapeId="0" xr:uid="{00000000-0006-0000-0400-00005B000000}">
      <text>
        <r>
          <rPr>
            <sz val="10"/>
            <color rgb="FF000000"/>
            <rFont val="Arial"/>
            <scheme val="minor"/>
          </rPr>
          <t>Corregida el 16/09/2026: antes 5 %</t>
        </r>
      </text>
    </comment>
    <comment ref="B201" authorId="0" shapeId="0" xr:uid="{00000000-0006-0000-0400-00005C000000}">
      <text>
        <r>
          <rPr>
            <sz val="10"/>
            <color rgb="FF000000"/>
            <rFont val="Arial"/>
            <scheme val="minor"/>
          </rPr>
          <t>Corregida el 16/09/2026: antes 16 %</t>
        </r>
      </text>
    </comment>
    <comment ref="A210" authorId="0" shapeId="0" xr:uid="{00000000-0006-0000-0400-00005D000000}">
      <text>
        <r>
          <rPr>
            <sz val="10"/>
            <color rgb="FF000000"/>
            <rFont val="Arial"/>
            <scheme val="minor"/>
          </rPr>
          <t>Fila libre: estaba duplicada (Perca)</t>
        </r>
      </text>
    </comment>
    <comment ref="B212" authorId="0" shapeId="0" xr:uid="{00000000-0006-0000-0400-00005E000000}">
      <text>
        <r>
          <rPr>
            <sz val="10"/>
            <color rgb="FF000000"/>
            <rFont val="Arial"/>
            <scheme val="minor"/>
          </rPr>
          <t>Corregida el 16/09/2026: antes 15 %</t>
        </r>
      </text>
    </comment>
    <comment ref="B213" authorId="0" shapeId="0" xr:uid="{00000000-0006-0000-0400-00005F000000}">
      <text>
        <r>
          <rPr>
            <sz val="10"/>
            <color rgb="FF000000"/>
            <rFont val="Arial"/>
            <scheme val="minor"/>
          </rPr>
          <t>Merma de referencia agregada el 16/09/2026, similar a Pimenton ahumado, Canela molida y Chile en polvo (especias secas, 2 %)</t>
        </r>
      </text>
    </comment>
    <comment ref="B214" authorId="0" shapeId="0" xr:uid="{00000000-0006-0000-0400-000060000000}">
      <text>
        <r>
          <rPr>
            <sz val="10"/>
            <color rgb="FF000000"/>
            <rFont val="Arial"/>
            <scheme val="minor"/>
          </rPr>
          <t>Corregida el 16/09/2026: antes 5 %</t>
        </r>
      </text>
    </comment>
    <comment ref="B215" authorId="0" shapeId="0" xr:uid="{00000000-0006-0000-0400-000061000000}">
      <text>
        <r>
          <rPr>
            <sz val="10"/>
            <color rgb="FF000000"/>
            <rFont val="Arial"/>
            <scheme val="minor"/>
          </rPr>
          <t>Corregida el 16/09/2026: antes 5 %</t>
        </r>
      </text>
    </comment>
    <comment ref="B217" authorId="0" shapeId="0" xr:uid="{00000000-0006-0000-0400-000062000000}">
      <text>
        <r>
          <rPr>
            <sz val="10"/>
            <color rgb="FF000000"/>
            <rFont val="Arial"/>
            <scheme val="minor"/>
          </rPr>
          <t>Corregida el 16/09/2026: antes 5 %</t>
        </r>
      </text>
    </comment>
    <comment ref="B218" authorId="0" shapeId="0" xr:uid="{00000000-0006-0000-0400-000063000000}">
      <text>
        <r>
          <rPr>
            <sz val="10"/>
            <color rgb="FF000000"/>
            <rFont val="Arial"/>
            <scheme val="minor"/>
          </rPr>
          <t>Corregida el 16/09/2026: antes 5 %</t>
        </r>
      </text>
    </comment>
    <comment ref="B222" authorId="0" shapeId="0" xr:uid="{00000000-0006-0000-0400-000064000000}">
      <text>
        <r>
          <rPr>
            <sz val="10"/>
            <color rgb="FF000000"/>
            <rFont val="Arial"/>
            <scheme val="minor"/>
          </rPr>
          <t>Corregida el 16/09/2026: antes 5 %</t>
        </r>
      </text>
    </comment>
    <comment ref="B226" authorId="0" shapeId="0" xr:uid="{00000000-0006-0000-0400-000065000000}">
      <text>
        <r>
          <rPr>
            <sz val="10"/>
            <color rgb="FF000000"/>
            <rFont val="Arial"/>
            <scheme val="minor"/>
          </rPr>
          <t>Corregida el 16/09/2026: antes 5 %</t>
        </r>
      </text>
    </comment>
    <comment ref="B229" authorId="0" shapeId="0" xr:uid="{00000000-0006-0000-0400-000066000000}">
      <text>
        <r>
          <rPr>
            <sz val="10"/>
            <color rgb="FF000000"/>
            <rFont val="Arial"/>
            <scheme val="minor"/>
          </rPr>
          <t>Corregida el 16/09/2026: antes 5 %</t>
        </r>
      </text>
    </comment>
    <comment ref="B232" authorId="0" shapeId="0" xr:uid="{00000000-0006-0000-0400-000067000000}">
      <text>
        <r>
          <rPr>
            <sz val="10"/>
            <color rgb="FF000000"/>
            <rFont val="Arial"/>
            <scheme val="minor"/>
          </rPr>
          <t>Corregida el 16/09/2026: antes 5 %</t>
        </r>
      </text>
    </comment>
    <comment ref="B234" authorId="0" shapeId="0" xr:uid="{00000000-0006-0000-0400-000068000000}">
      <text>
        <r>
          <rPr>
            <sz val="10"/>
            <color rgb="FF000000"/>
            <rFont val="Arial"/>
            <scheme val="minor"/>
          </rPr>
          <t>Corregida el 16/09/2026: antes 10 %</t>
        </r>
      </text>
    </comment>
    <comment ref="B240" authorId="0" shapeId="0" xr:uid="{00000000-0006-0000-0400-000069000000}">
      <text>
        <r>
          <rPr>
            <sz val="10"/>
            <color rgb="FF000000"/>
            <rFont val="Arial"/>
            <scheme val="minor"/>
          </rPr>
          <t>Corregida el 16/09/2026: antes 5 %</t>
        </r>
      </text>
    </comment>
    <comment ref="B241" authorId="0" shapeId="0" xr:uid="{00000000-0006-0000-0400-00006A000000}">
      <text>
        <r>
          <rPr>
            <sz val="10"/>
            <color rgb="FF000000"/>
            <rFont val="Arial"/>
            <scheme val="minor"/>
          </rPr>
          <t>Corregida el 16/09/2026: antes 5 %</t>
        </r>
      </text>
    </comment>
    <comment ref="B242" authorId="0" shapeId="0" xr:uid="{00000000-0006-0000-0400-00006B000000}">
      <text>
        <r>
          <rPr>
            <sz val="10"/>
            <color rgb="FF000000"/>
            <rFont val="Arial"/>
            <scheme val="minor"/>
          </rPr>
          <t>Corregida el 16/09/2026: antes 5 %</t>
        </r>
      </text>
    </comment>
    <comment ref="B243" authorId="0" shapeId="0" xr:uid="{00000000-0006-0000-0400-00006C000000}">
      <text>
        <r>
          <rPr>
            <sz val="10"/>
            <color rgb="FF000000"/>
            <rFont val="Arial"/>
            <scheme val="minor"/>
          </rPr>
          <t>Corregida el 16/09/2026: antes 35 %</t>
        </r>
      </text>
    </comment>
    <comment ref="B244" authorId="0" shapeId="0" xr:uid="{00000000-0006-0000-0400-00006D000000}">
      <text>
        <r>
          <rPr>
            <sz val="10"/>
            <color rgb="FF000000"/>
            <rFont val="Arial"/>
            <scheme val="minor"/>
          </rPr>
          <t>Corregida el 16/09/2026: antes 5 %</t>
        </r>
      </text>
    </comment>
    <comment ref="B245" authorId="0" shapeId="0" xr:uid="{00000000-0006-0000-0400-00006E000000}">
      <text>
        <r>
          <rPr>
            <sz val="10"/>
            <color rgb="FF000000"/>
            <rFont val="Arial"/>
            <scheme val="minor"/>
          </rPr>
          <t>Corregida el 16/09/2026: antes 5 %</t>
        </r>
      </text>
    </comment>
    <comment ref="B246" authorId="0" shapeId="0" xr:uid="{00000000-0006-0000-0400-00006F000000}">
      <text>
        <r>
          <rPr>
            <sz val="10"/>
            <color rgb="FF000000"/>
            <rFont val="Arial"/>
            <scheme val="minor"/>
          </rPr>
          <t>Corregida el 16/09/2026: antes 5 %</t>
        </r>
      </text>
    </comment>
    <comment ref="B247" authorId="0" shapeId="0" xr:uid="{00000000-0006-0000-0400-000070000000}">
      <text>
        <r>
          <rPr>
            <sz val="10"/>
            <color rgb="FF000000"/>
            <rFont val="Arial"/>
            <scheme val="minor"/>
          </rPr>
          <t>Corregida el 16/09/2026: antes 5 %</t>
        </r>
      </text>
    </comment>
    <comment ref="B250" authorId="0" shapeId="0" xr:uid="{00000000-0006-0000-0400-000071000000}">
      <text>
        <r>
          <rPr>
            <sz val="10"/>
            <color rgb="FF000000"/>
            <rFont val="Arial"/>
            <scheme val="minor"/>
          </rPr>
          <t>Corregida el 16/09/2026: antes 18 %</t>
        </r>
      </text>
    </comment>
    <comment ref="B251" authorId="0" shapeId="0" xr:uid="{00000000-0006-0000-0400-000072000000}">
      <text>
        <r>
          <rPr>
            <sz val="10"/>
            <color rgb="FF000000"/>
            <rFont val="Arial"/>
            <scheme val="minor"/>
          </rPr>
          <t>Corregida el 16/09/2026: antes 35 %</t>
        </r>
      </text>
    </comment>
    <comment ref="B252" authorId="0" shapeId="0" xr:uid="{00000000-0006-0000-0400-000073000000}">
      <text>
        <r>
          <rPr>
            <sz val="10"/>
            <color rgb="FF000000"/>
            <rFont val="Arial"/>
            <scheme val="minor"/>
          </rPr>
          <t>Corregida el 16/09/2026: antes 5 %</t>
        </r>
      </text>
    </comment>
    <comment ref="B253" authorId="0" shapeId="0" xr:uid="{00000000-0006-0000-0400-000074000000}">
      <text>
        <r>
          <rPr>
            <sz val="10"/>
            <color rgb="FF000000"/>
            <rFont val="Arial"/>
            <scheme val="minor"/>
          </rPr>
          <t>Corregida el 16/09/2026: antes 5 %</t>
        </r>
      </text>
    </comment>
    <comment ref="B257" authorId="0" shapeId="0" xr:uid="{00000000-0006-0000-0400-000075000000}">
      <text>
        <r>
          <rPr>
            <sz val="10"/>
            <color rgb="FF000000"/>
            <rFont val="Arial"/>
            <scheme val="minor"/>
          </rPr>
          <t>Corregida el 16/09/2026: antes 5 %</t>
        </r>
      </text>
    </comment>
    <comment ref="B261" authorId="0" shapeId="0" xr:uid="{00000000-0006-0000-0400-000076000000}">
      <text>
        <r>
          <rPr>
            <sz val="10"/>
            <color rgb="FF000000"/>
            <rFont val="Arial"/>
            <scheme val="minor"/>
          </rPr>
          <t>Corregida el 16/09/2026: antes 5 %</t>
        </r>
      </text>
    </comment>
    <comment ref="B262" authorId="0" shapeId="0" xr:uid="{00000000-0006-0000-0400-000077000000}">
      <text>
        <r>
          <rPr>
            <sz val="10"/>
            <color rgb="FF000000"/>
            <rFont val="Arial"/>
            <scheme val="minor"/>
          </rPr>
          <t>Corregida el 16/09/2026: antes 5 %</t>
        </r>
      </text>
    </comment>
    <comment ref="A265" authorId="0" shapeId="0" xr:uid="{00000000-0006-0000-0400-000078000000}">
      <text>
        <r>
          <rPr>
            <sz val="10"/>
            <color rgb="FF000000"/>
            <rFont val="Arial"/>
            <scheme val="minor"/>
          </rPr>
          <t>Fila libre: estaba duplicada (Lomo (vacuno))</t>
        </r>
      </text>
    </comment>
    <comment ref="B269" authorId="0" shapeId="0" xr:uid="{00000000-0006-0000-0400-000079000000}">
      <text>
        <r>
          <rPr>
            <sz val="10"/>
            <color rgb="FF000000"/>
            <rFont val="Arial"/>
            <scheme val="minor"/>
          </rPr>
          <t>Corregida el 16/09/2026: antes 5 %</t>
        </r>
      </text>
    </comment>
    <comment ref="B270" authorId="0" shapeId="0" xr:uid="{00000000-0006-0000-0400-00007A000000}">
      <text>
        <r>
          <rPr>
            <sz val="10"/>
            <color rgb="FF000000"/>
            <rFont val="Arial"/>
            <scheme val="minor"/>
          </rPr>
          <t>Corregida el 16/09/2026: antes 5 %</t>
        </r>
      </text>
    </comment>
    <comment ref="B272" authorId="0" shapeId="0" xr:uid="{00000000-0006-0000-0400-00007B000000}">
      <text>
        <r>
          <rPr>
            <sz val="10"/>
            <color rgb="FF000000"/>
            <rFont val="Arial"/>
            <scheme val="minor"/>
          </rPr>
          <t>Corregida el 16/09/2026: antes 5 %</t>
        </r>
      </text>
    </comment>
    <comment ref="B273" authorId="0" shapeId="0" xr:uid="{00000000-0006-0000-0400-00007C000000}">
      <text>
        <r>
          <rPr>
            <sz val="10"/>
            <color rgb="FF000000"/>
            <rFont val="Arial"/>
            <scheme val="minor"/>
          </rPr>
          <t>Corregida el 16/09/2026: antes 5 %</t>
        </r>
      </text>
    </comment>
    <comment ref="B274" authorId="0" shapeId="0" xr:uid="{00000000-0006-0000-0400-00007D000000}">
      <text>
        <r>
          <rPr>
            <sz val="10"/>
            <color rgb="FF000000"/>
            <rFont val="Arial"/>
            <scheme val="minor"/>
          </rPr>
          <t>Corregida el 16/09/2026: antes 10 %</t>
        </r>
      </text>
    </comment>
    <comment ref="B275" authorId="0" shapeId="0" xr:uid="{00000000-0006-0000-0400-00007E000000}">
      <text>
        <r>
          <rPr>
            <sz val="10"/>
            <color rgb="FF000000"/>
            <rFont val="Arial"/>
            <scheme val="minor"/>
          </rPr>
          <t>Corregida el 16/09/2026: antes 5 %</t>
        </r>
      </text>
    </comment>
    <comment ref="B276" authorId="0" shapeId="0" xr:uid="{00000000-0006-0000-0400-00007F000000}">
      <text>
        <r>
          <rPr>
            <sz val="10"/>
            <color rgb="FF000000"/>
            <rFont val="Arial"/>
            <scheme val="minor"/>
          </rPr>
          <t>Corregida el 16/09/2026: antes 5 %</t>
        </r>
      </text>
    </comment>
    <comment ref="B277" authorId="0" shapeId="0" xr:uid="{00000000-0006-0000-0400-000080000000}">
      <text>
        <r>
          <rPr>
            <sz val="10"/>
            <color rgb="FF000000"/>
            <rFont val="Arial"/>
            <scheme val="minor"/>
          </rPr>
          <t>Corregida el 16/09/2026: antes 5 %</t>
        </r>
      </text>
    </comment>
    <comment ref="B312" authorId="0" shapeId="0" xr:uid="{00000000-0006-0000-0400-000081000000}">
      <text>
        <r>
          <rPr>
            <sz val="10"/>
            <color rgb="FF000000"/>
            <rFont val="Arial"/>
            <scheme val="minor"/>
          </rPr>
          <t>Merma de referencia agregada el 16/09/2026, similar a Pan lactal negro (5 %)</t>
        </r>
      </text>
    </comment>
    <comment ref="B313" authorId="0" shapeId="0" xr:uid="{00000000-0006-0000-0400-000082000000}">
      <text>
        <r>
          <rPr>
            <sz val="10"/>
            <color rgb="FF000000"/>
            <rFont val="Arial"/>
            <scheme val="minor"/>
          </rPr>
          <t>Merma de referencia agregada el 16/09/2026, similar a Pollo patamuslo y Panceta (carnes listas para usar, 5 %)</t>
        </r>
      </text>
    </comment>
  </commentList>
</comments>
</file>

<file path=xl/sharedStrings.xml><?xml version="1.0" encoding="utf-8"?>
<sst xmlns="http://schemas.openxmlformats.org/spreadsheetml/2006/main" count="1220" uniqueCount="447">
  <si>
    <t>Planilla "Insumos"</t>
  </si>
  <si>
    <t>Concepto: En esta planilla se cargan todos los costos de los insumos utilizados para fabricar que luego utilizaremos en la planilla "Recetas". Es clave que se chequee que la cantidad de unidades por bulto este bien expresada, por ejemplo 3200 grs si es una barra de queso de3,2 kg</t>
  </si>
  <si>
    <t xml:space="preserve">Campo de planilla </t>
  </si>
  <si>
    <t>Completar / No completar</t>
  </si>
  <si>
    <t xml:space="preserve">Instrucciones </t>
  </si>
  <si>
    <t xml:space="preserve">Insumos </t>
  </si>
  <si>
    <t>Completar</t>
  </si>
  <si>
    <t xml:space="preserve">1- Completar el nombre del insumo IMPORTANTE: No cambiar el orden. De agregar insumos van al final </t>
  </si>
  <si>
    <t xml:space="preserve">Tipo de costo </t>
  </si>
  <si>
    <t>2- Seleccionar el tipo de costo al que se hace alusión</t>
  </si>
  <si>
    <t xml:space="preserve">Proveedor </t>
  </si>
  <si>
    <t xml:space="preserve">3-Completar el nombre del proveedor </t>
  </si>
  <si>
    <t>Cantidad de Unidades por bulto</t>
  </si>
  <si>
    <t>4- Completar la cantidad de unidades por bulto. Por ej: Si una barra de queso trae 2,3 kg, completar con 2300 grs. Si comprás por unidad, poné cuántas unidades trae el bulto (por ej. 30 huevos).</t>
  </si>
  <si>
    <t>U. de medida bulto</t>
  </si>
  <si>
    <t>5- Seleccioná si son gramos (Grs), mililitros (Ml) o unidades (Un). Si comprás por unidad (huevos, limones), elegí Un y cargá unidades en lugar de gramos.</t>
  </si>
  <si>
    <t>Costo del bulto</t>
  </si>
  <si>
    <t>6- Completar con el costo del bulto. Ojo con el IVA: mirá el bloque "IVA: cómo cargar según tu caso" al final de esta hoja.</t>
  </si>
  <si>
    <t>Costo por unidad</t>
  </si>
  <si>
    <t>No completar</t>
  </si>
  <si>
    <t>7- Se completa solo. En Insumos se marca en rojo el costo que falta de un insumo que ya estás usando en una receta: completá el costo del bulto y la cantidad por bulto.</t>
  </si>
  <si>
    <t>Planilla "Recetas"</t>
  </si>
  <si>
    <t xml:space="preserve">Concepto: Acá se cargan todas las recetas que queremos costear. Prestar atención respecto si es necesario o no cargar cada campo. </t>
  </si>
  <si>
    <t>Receta número</t>
  </si>
  <si>
    <t xml:space="preserve">El es número de receta cargada. Sirve para Buscarla luego </t>
  </si>
  <si>
    <t xml:space="preserve">Nombre de la receta </t>
  </si>
  <si>
    <t xml:space="preserve">Escribir el nombre de la preparación </t>
  </si>
  <si>
    <t xml:space="preserve">Tipo de producto </t>
  </si>
  <si>
    <t xml:space="preserve">Seleccionar el tipo de producto que se quiere costear </t>
  </si>
  <si>
    <t xml:space="preserve">Cantidad de porciones </t>
  </si>
  <si>
    <t>Indicar las porciones que salen de esa preparación</t>
  </si>
  <si>
    <t xml:space="preserve">Precio de venta al público </t>
  </si>
  <si>
    <t>Precio de venta final, tal cual está en la carta (con IVA incluido).</t>
  </si>
  <si>
    <t xml:space="preserve">Gramos por receta </t>
  </si>
  <si>
    <t>Se calcula solo. Es el peso de la receta en gramos. No suma los insumos que van por unidad (Un).</t>
  </si>
  <si>
    <t>Gramos por porción</t>
  </si>
  <si>
    <t>Se calcula solo. Es el peso de la porción en gramos. No suma los insumos que van por unidad (Un).</t>
  </si>
  <si>
    <t xml:space="preserve">Insumo </t>
  </si>
  <si>
    <t>Seleccionar del desplegable el insumo que fue previamente cargado. No escribir, solo seleccionar. La columna "Unidad" (a la derecha de la receta) se completa sola: muestra si el insumo va en Grs, Ml o Un.</t>
  </si>
  <si>
    <t xml:space="preserve">Peso bruto </t>
  </si>
  <si>
    <t>Se calcula solo. Es el peso bruto con la merma incluida: lo que tenés que comprar para que te quede el peso neto.</t>
  </si>
  <si>
    <t>Merma en %</t>
  </si>
  <si>
    <t>No completar: se trae sola de la hoja 'Mermas por producto'. Si la merma de tu insumo es otra, cambiala en esa hoja, no acá.</t>
  </si>
  <si>
    <t xml:space="preserve">Q Merma </t>
  </si>
  <si>
    <t xml:space="preserve">Lo calcula solo. Son los gramos de merma que tiene la preparación </t>
  </si>
  <si>
    <t xml:space="preserve">Peso neto </t>
  </si>
  <si>
    <t>Peso neto: los gramos que quedan después de limpiar/pelar, lo que realmente lleva la preparación. Si el insumo va por unidad (Un), poné cuántas unidades lleva.</t>
  </si>
  <si>
    <t>Costo Grs</t>
  </si>
  <si>
    <t>Se calcula solo. Costo por cada gramo (o unidad) de insumo. Si una celda se pone roja, a ese insumo le falta el costo en la hoja Insumos: la receta lo está contando como $0.</t>
  </si>
  <si>
    <t xml:space="preserve">Costo Real </t>
  </si>
  <si>
    <t>Se calcula solo. Es producto de la multiplicacion de la cantidad de gramos por el precio de cada gramo</t>
  </si>
  <si>
    <t xml:space="preserve">Distribucion </t>
  </si>
  <si>
    <t>Se calcula solo. Forma en que se distribuye el costo de manera relativa al total del costo</t>
  </si>
  <si>
    <t xml:space="preserve">Costo Total </t>
  </si>
  <si>
    <t xml:space="preserve">Se calcula solo. Costo total de la preparacion </t>
  </si>
  <si>
    <t xml:space="preserve">Costo Grs </t>
  </si>
  <si>
    <t>Se calcula solo. Costo de cada gramo de producto terminado</t>
  </si>
  <si>
    <t>Costo Porción</t>
  </si>
  <si>
    <t xml:space="preserve">Se calcula solo. Costo de cada porcion de producto terminado </t>
  </si>
  <si>
    <t xml:space="preserve">Peso total </t>
  </si>
  <si>
    <t>Se calcula solo. Peso total de la preparación, bruto y neto. No suma los insumos que van por unidad (Un).</t>
  </si>
  <si>
    <t>Planilla "Margenes por producto"</t>
  </si>
  <si>
    <t>Concepto: Acá se resume la informacion clave de las recetas como costo, gramaje y el margen por producto en $ y en Precio/Costo</t>
  </si>
  <si>
    <t xml:space="preserve">Nº de receta </t>
  </si>
  <si>
    <t>Es el número de receta cargada. Viene de la planilla "Recetas"</t>
  </si>
  <si>
    <t>Es  el tipo de producto que estamos visualizando. Viene de la planilla "Recetas"</t>
  </si>
  <si>
    <t>Producto</t>
  </si>
  <si>
    <t>Es el nombre del producto. Viene de la planilla "Recetas"</t>
  </si>
  <si>
    <t xml:space="preserve">Peso en grs </t>
  </si>
  <si>
    <t>Es el gramaje que recibe el cliente neto de merma. Viene de la planilla "Recetas"</t>
  </si>
  <si>
    <t xml:space="preserve">Ud de medida </t>
  </si>
  <si>
    <t>Unidad de medida. Si es una bebida poner Ml</t>
  </si>
  <si>
    <t xml:space="preserve">Costo </t>
  </si>
  <si>
    <t>Es el costo unitario del producto. Viene de la planilla "Recetas"</t>
  </si>
  <si>
    <t xml:space="preserve">Precio de venta </t>
  </si>
  <si>
    <t>Es el precio de venta al público, con IVA. Viene de la planilla "Recetas"</t>
  </si>
  <si>
    <t xml:space="preserve">Ganancia por unidad </t>
  </si>
  <si>
    <t>Es una medida calculada: precio de venta sin IVA (columna "Precio sin IVA") menos el costo unitario.</t>
  </si>
  <si>
    <t xml:space="preserve">Ventas/Costos </t>
  </si>
  <si>
    <t>Es una métrica de desempeño económico: precio de venta sin IVA dividido el costo. Por ejemplo, 3 quiere decir que vendés a 3 veces lo que te cuesta.</t>
  </si>
  <si>
    <t>Activo/No activo</t>
  </si>
  <si>
    <t>Se selecciona segun el producto este o no activo</t>
  </si>
  <si>
    <t>Planilla "Mermas por producto  "</t>
  </si>
  <si>
    <t xml:space="preserve">Concepto: Esta base de datos contiene las mermas estandar de casi 300 productos </t>
  </si>
  <si>
    <t xml:space="preserve">Insumo recuperado de la planilla de Insumos </t>
  </si>
  <si>
    <t xml:space="preserve">Merma </t>
  </si>
  <si>
    <t xml:space="preserve">Merma estandar </t>
  </si>
  <si>
    <t>Planilla "Control de desperdicio "</t>
  </si>
  <si>
    <t>Concepto: Acá secalculan los desperdicios y se valoran en terminos economicos.</t>
  </si>
  <si>
    <t>Fecha (DD/MM/AAAA)</t>
  </si>
  <si>
    <t xml:space="preserve">Completar solo en ese formato especifico </t>
  </si>
  <si>
    <t>Mes</t>
  </si>
  <si>
    <t>Se calcula automatico para poder aplicar filtros</t>
  </si>
  <si>
    <t>Hay que seleccionar el insumo desperdiciado</t>
  </si>
  <si>
    <t xml:space="preserve">Cantidad de gramos </t>
  </si>
  <si>
    <t>Completar con cantidad de gramos desperdiciados (o unidades, si el insumo va por Un)</t>
  </si>
  <si>
    <t xml:space="preserve">Costo pro gramo </t>
  </si>
  <si>
    <t>Se recupera solo del registro de "Insumos"</t>
  </si>
  <si>
    <t>Costo asumido</t>
  </si>
  <si>
    <t>Se calcula solo y es el resultado de Precio x Cantidad</t>
  </si>
  <si>
    <t xml:space="preserve">Motivo del desperdicio </t>
  </si>
  <si>
    <t xml:space="preserve">Hay que seleccionar el motivo del desplegable </t>
  </si>
  <si>
    <t>IVA: cómo cargar según tu caso</t>
  </si>
  <si>
    <t>Concepto: el IVA cambia cómo cargás los costos y cómo se calcula tu ganancia. Elegí tu condición en la hoja 'Margenes por producto', celda L2.</t>
  </si>
  <si>
    <t>Tu caso</t>
  </si>
  <si>
    <t>Cómo cargar los costos de insumos</t>
  </si>
  <si>
    <t>Qué pasa con el precio de venta</t>
  </si>
  <si>
    <t>Responsable inscripto</t>
  </si>
  <si>
    <t>SIN IVA: el neto de la factura (ese IVA lo recuperás).</t>
  </si>
  <si>
    <t>En Recetas poné el precio de carta tal cual, con IVA. La planilla le saca el 21 % para calcular tu ganancia real, porque ese IVA no es tuyo: se lo pagás a AFIP/ARCA.</t>
  </si>
  <si>
    <t>Monotributista</t>
  </si>
  <si>
    <t>CON IVA: el total que pagaste, porque no lo recuperás.</t>
  </si>
  <si>
    <t>El precio de carta es todo tuyo: la planilla no le resta nada.</t>
  </si>
  <si>
    <t>Condición fiscal</t>
  </si>
  <si>
    <t>Elegí tu condición en la hoja 'Margenes por producto', celda L2: Responsable inscripto o Monotributista.</t>
  </si>
  <si>
    <t>Precio sin IVA</t>
  </si>
  <si>
    <t>Se calcula solo en la hoja 'Margenes por producto' (columna K). Es el precio que usan la Ganancia por unidad y Ventas/Costos.</t>
  </si>
  <si>
    <t>Si tenés dudas sobre tu condición, consultalo con tu contador.</t>
  </si>
  <si>
    <t>Insumos</t>
  </si>
  <si>
    <t>Tipo de Costo</t>
  </si>
  <si>
    <t>Proveedor</t>
  </si>
  <si>
    <t>Cantidad de Unidades por bulto (en gramos, mililitros o unidades)</t>
  </si>
  <si>
    <t xml:space="preserve">Aceite de oliva </t>
  </si>
  <si>
    <t xml:space="preserve">Aceite de sesamo </t>
  </si>
  <si>
    <t xml:space="preserve">Aceite mezcla </t>
  </si>
  <si>
    <t xml:space="preserve">Aceite para freir </t>
  </si>
  <si>
    <t xml:space="preserve">Aceitunas descarozadas </t>
  </si>
  <si>
    <t xml:space="preserve">Acelga </t>
  </si>
  <si>
    <t xml:space="preserve">Aceto balsamico </t>
  </si>
  <si>
    <t xml:space="preserve">Achicoria </t>
  </si>
  <si>
    <t xml:space="preserve">Agua </t>
  </si>
  <si>
    <t>Agua tonica</t>
  </si>
  <si>
    <t xml:space="preserve">Ajo </t>
  </si>
  <si>
    <t>Ajo pasta</t>
  </si>
  <si>
    <t xml:space="preserve">Ajo puerro </t>
  </si>
  <si>
    <t xml:space="preserve">Albahaca </t>
  </si>
  <si>
    <t xml:space="preserve">Alcaparra </t>
  </si>
  <si>
    <t xml:space="preserve">Alcaucil </t>
  </si>
  <si>
    <t xml:space="preserve">Almeja </t>
  </si>
  <si>
    <t xml:space="preserve">Almendras peladas </t>
  </si>
  <si>
    <t xml:space="preserve">Almibar </t>
  </si>
  <si>
    <t>Almidón de maíz (maicena)</t>
  </si>
  <si>
    <t xml:space="preserve">Amaretto </t>
  </si>
  <si>
    <t xml:space="preserve">Ananá </t>
  </si>
  <si>
    <t xml:space="preserve">Anguila </t>
  </si>
  <si>
    <t xml:space="preserve">Apio </t>
  </si>
  <si>
    <t>Arandanos frescos</t>
  </si>
  <si>
    <t xml:space="preserve">Arenque de lago </t>
  </si>
  <si>
    <t xml:space="preserve">Arenque de mar </t>
  </si>
  <si>
    <t>Arroz</t>
  </si>
  <si>
    <t xml:space="preserve">Arvejas frescas </t>
  </si>
  <si>
    <t xml:space="preserve">Atun en aceite </t>
  </si>
  <si>
    <t xml:space="preserve">Avellanas peladas </t>
  </si>
  <si>
    <t xml:space="preserve">Azafran </t>
  </si>
  <si>
    <t xml:space="preserve">Azucar </t>
  </si>
  <si>
    <t>Azucar en polvo</t>
  </si>
  <si>
    <t xml:space="preserve">Azucar negra </t>
  </si>
  <si>
    <t xml:space="preserve">Bacalao </t>
  </si>
  <si>
    <t xml:space="preserve">Banana </t>
  </si>
  <si>
    <t>Batatas</t>
  </si>
  <si>
    <t xml:space="preserve">Berenjenas </t>
  </si>
  <si>
    <t xml:space="preserve">Berro </t>
  </si>
  <si>
    <t xml:space="preserve">Bife T-bone </t>
  </si>
  <si>
    <t xml:space="preserve">Bondiola </t>
  </si>
  <si>
    <t xml:space="preserve">Bonito </t>
  </si>
  <si>
    <t xml:space="preserve">Brandy </t>
  </si>
  <si>
    <t xml:space="preserve">Brócoli </t>
  </si>
  <si>
    <t xml:space="preserve">Brotes de soja </t>
  </si>
  <si>
    <t xml:space="preserve">Caballa </t>
  </si>
  <si>
    <t xml:space="preserve">Cacao amargo </t>
  </si>
  <si>
    <t xml:space="preserve">Café en grano </t>
  </si>
  <si>
    <t xml:space="preserve">Café molido </t>
  </si>
  <si>
    <t xml:space="preserve">Calamar </t>
  </si>
  <si>
    <t xml:space="preserve">Camarón </t>
  </si>
  <si>
    <t xml:space="preserve">Campari </t>
  </si>
  <si>
    <t xml:space="preserve">Canela molida </t>
  </si>
  <si>
    <t xml:space="preserve">Carne de cordero </t>
  </si>
  <si>
    <t xml:space="preserve">Carpa </t>
  </si>
  <si>
    <t xml:space="preserve">Cebolla  </t>
  </si>
  <si>
    <t xml:space="preserve">Cebolla colorada </t>
  </si>
  <si>
    <t xml:space="preserve">Cebolla de verdeo parte blanca </t>
  </si>
  <si>
    <t xml:space="preserve">Cebolla de verdeo todo </t>
  </si>
  <si>
    <t xml:space="preserve">Centolla (carne) </t>
  </si>
  <si>
    <t xml:space="preserve">Cerdo (carne magra) </t>
  </si>
  <si>
    <t xml:space="preserve">Cerdo (costillas) </t>
  </si>
  <si>
    <t xml:space="preserve">Cereza </t>
  </si>
  <si>
    <t xml:space="preserve">Champiñones </t>
  </si>
  <si>
    <t xml:space="preserve">Chaucha </t>
  </si>
  <si>
    <t xml:space="preserve">Chile en polvo </t>
  </si>
  <si>
    <t xml:space="preserve">Chile pasta </t>
  </si>
  <si>
    <t xml:space="preserve">Chile rojo </t>
  </si>
  <si>
    <t xml:space="preserve">Chips de chocolate </t>
  </si>
  <si>
    <t xml:space="preserve">Chirimoya </t>
  </si>
  <si>
    <t xml:space="preserve">Choclo </t>
  </si>
  <si>
    <t xml:space="preserve">Chocolate blanco </t>
  </si>
  <si>
    <t xml:space="preserve">Chocolate semi amargo </t>
  </si>
  <si>
    <t xml:space="preserve">Ciboulette </t>
  </si>
  <si>
    <t xml:space="preserve">Cilantro </t>
  </si>
  <si>
    <t>Ciruela</t>
  </si>
  <si>
    <t>Ciruela pasa</t>
  </si>
  <si>
    <t>Clavo de olor</t>
  </si>
  <si>
    <t xml:space="preserve">Col crespa </t>
  </si>
  <si>
    <t xml:space="preserve">Coliflor </t>
  </si>
  <si>
    <t xml:space="preserve">Colinabo </t>
  </si>
  <si>
    <t xml:space="preserve">Conejo </t>
  </si>
  <si>
    <t xml:space="preserve">Copo de maíz sin azúcar </t>
  </si>
  <si>
    <t xml:space="preserve">Cordero (costillas) </t>
  </si>
  <si>
    <t xml:space="preserve">Cordero (paleta) </t>
  </si>
  <si>
    <t>Crema</t>
  </si>
  <si>
    <t xml:space="preserve">Cuajada </t>
  </si>
  <si>
    <t xml:space="preserve">Damasco </t>
  </si>
  <si>
    <t xml:space="preserve">Dátil </t>
  </si>
  <si>
    <t xml:space="preserve">Durazno </t>
  </si>
  <si>
    <t>Durazno pelón</t>
  </si>
  <si>
    <t xml:space="preserve">Echalote </t>
  </si>
  <si>
    <t>Esencia de vainilla</t>
  </si>
  <si>
    <t xml:space="preserve">Escarola </t>
  </si>
  <si>
    <t>Espárrago</t>
  </si>
  <si>
    <t>Espinaca</t>
  </si>
  <si>
    <t xml:space="preserve">Extracto de malta </t>
  </si>
  <si>
    <t xml:space="preserve">Fenogreco molido </t>
  </si>
  <si>
    <t xml:space="preserve">Filet de merluza </t>
  </si>
  <si>
    <t xml:space="preserve">Fondo de gallina </t>
  </si>
  <si>
    <t xml:space="preserve">Fondo de verdura </t>
  </si>
  <si>
    <t>Frambuesas frescas</t>
  </si>
  <si>
    <t xml:space="preserve">Frutilla  </t>
  </si>
  <si>
    <t xml:space="preserve">Frutos rojos </t>
  </si>
  <si>
    <t xml:space="preserve">Fumet de pescado </t>
  </si>
  <si>
    <t xml:space="preserve">Galletitas de vainilla </t>
  </si>
  <si>
    <t xml:space="preserve">Gallina </t>
  </si>
  <si>
    <t xml:space="preserve">Gelatina sin sabor </t>
  </si>
  <si>
    <t xml:space="preserve">Gin </t>
  </si>
  <si>
    <t xml:space="preserve">Granada </t>
  </si>
  <si>
    <t xml:space="preserve">Grasas </t>
  </si>
  <si>
    <t xml:space="preserve">Guayaba </t>
  </si>
  <si>
    <t xml:space="preserve">Haba </t>
  </si>
  <si>
    <t xml:space="preserve">Harina de algarroba </t>
  </si>
  <si>
    <t xml:space="preserve">Harina de avellana </t>
  </si>
  <si>
    <t xml:space="preserve">Harina de maiz </t>
  </si>
  <si>
    <t xml:space="preserve">Harina de malta </t>
  </si>
  <si>
    <t xml:space="preserve">Harina de trigo </t>
  </si>
  <si>
    <t xml:space="preserve">Hielo </t>
  </si>
  <si>
    <t xml:space="preserve">Higo </t>
  </si>
  <si>
    <t xml:space="preserve">Hinojo </t>
  </si>
  <si>
    <t xml:space="preserve">Hongos portobelos </t>
  </si>
  <si>
    <t xml:space="preserve">Hongos secos </t>
  </si>
  <si>
    <t xml:space="preserve">Huevos </t>
  </si>
  <si>
    <t xml:space="preserve">Huevos claras </t>
  </si>
  <si>
    <t xml:space="preserve">Huevos yemas </t>
  </si>
  <si>
    <t xml:space="preserve">Jamon crudo </t>
  </si>
  <si>
    <t xml:space="preserve">Jengibre </t>
  </si>
  <si>
    <t xml:space="preserve">Jengibre pasta </t>
  </si>
  <si>
    <t xml:space="preserve">Jerez </t>
  </si>
  <si>
    <t xml:space="preserve">Jugo de lima </t>
  </si>
  <si>
    <t>Jugo de limón</t>
  </si>
  <si>
    <t xml:space="preserve">Jugo de pomelo </t>
  </si>
  <si>
    <t xml:space="preserve">Kaki </t>
  </si>
  <si>
    <t xml:space="preserve">Kinoto </t>
  </si>
  <si>
    <t xml:space="preserve">Kiwi </t>
  </si>
  <si>
    <t xml:space="preserve">Langostino cola </t>
  </si>
  <si>
    <t xml:space="preserve">Langostinos enteros </t>
  </si>
  <si>
    <t xml:space="preserve">Laurel </t>
  </si>
  <si>
    <t xml:space="preserve">Leche </t>
  </si>
  <si>
    <t xml:space="preserve">Leche de coco </t>
  </si>
  <si>
    <t xml:space="preserve">Lechuga </t>
  </si>
  <si>
    <t xml:space="preserve">Limoncello </t>
  </si>
  <si>
    <t xml:space="preserve">Lengua </t>
  </si>
  <si>
    <t xml:space="preserve">Lenguado </t>
  </si>
  <si>
    <t xml:space="preserve">Levadura </t>
  </si>
  <si>
    <t xml:space="preserve">Licor de café </t>
  </si>
  <si>
    <t xml:space="preserve">Licor de chocolate </t>
  </si>
  <si>
    <t xml:space="preserve">Licor de crema de cassis </t>
  </si>
  <si>
    <t xml:space="preserve">Liebre </t>
  </si>
  <si>
    <t>Lima</t>
  </si>
  <si>
    <t xml:space="preserve">Lima kaffir, hojas </t>
  </si>
  <si>
    <t xml:space="preserve">Limon </t>
  </si>
  <si>
    <t>Lomo (vacuno)</t>
  </si>
  <si>
    <t xml:space="preserve">Lomo de cerdo </t>
  </si>
  <si>
    <t xml:space="preserve">Malta </t>
  </si>
  <si>
    <t xml:space="preserve">Mandarina </t>
  </si>
  <si>
    <t xml:space="preserve">Mandioca </t>
  </si>
  <si>
    <t xml:space="preserve">Mani aceite </t>
  </si>
  <si>
    <t xml:space="preserve">Mani salado </t>
  </si>
  <si>
    <t xml:space="preserve">Manteca </t>
  </si>
  <si>
    <t xml:space="preserve">Manzana </t>
  </si>
  <si>
    <t>Martini dry</t>
  </si>
  <si>
    <t xml:space="preserve">Masa madre </t>
  </si>
  <si>
    <t>Mascarpone</t>
  </si>
  <si>
    <t xml:space="preserve">Mayonesa </t>
  </si>
  <si>
    <t xml:space="preserve">Mejillones </t>
  </si>
  <si>
    <t xml:space="preserve">Melón </t>
  </si>
  <si>
    <t xml:space="preserve">Membrillo </t>
  </si>
  <si>
    <t xml:space="preserve">Menta </t>
  </si>
  <si>
    <t xml:space="preserve">Miel </t>
  </si>
  <si>
    <t xml:space="preserve">Mojama lisa japonesa </t>
  </si>
  <si>
    <t xml:space="preserve">Molleja </t>
  </si>
  <si>
    <t xml:space="preserve">Mora </t>
  </si>
  <si>
    <t xml:space="preserve">Morron amarillo </t>
  </si>
  <si>
    <t xml:space="preserve">Morron rojo </t>
  </si>
  <si>
    <t xml:space="preserve">Morron verde  </t>
  </si>
  <si>
    <t xml:space="preserve">Mostaza dijon </t>
  </si>
  <si>
    <t xml:space="preserve">Mozzarella </t>
  </si>
  <si>
    <t xml:space="preserve">Nabiza </t>
  </si>
  <si>
    <t xml:space="preserve">Nabo </t>
  </si>
  <si>
    <t xml:space="preserve">Naranja </t>
  </si>
  <si>
    <t xml:space="preserve">Níspero </t>
  </si>
  <si>
    <t xml:space="preserve">Nuez moscada </t>
  </si>
  <si>
    <t xml:space="preserve">Nuez pelada </t>
  </si>
  <si>
    <t xml:space="preserve">Ojo de bife </t>
  </si>
  <si>
    <t xml:space="preserve">Oregano </t>
  </si>
  <si>
    <t xml:space="preserve">Palta o aguacate </t>
  </si>
  <si>
    <t>Pan blanco</t>
  </si>
  <si>
    <t xml:space="preserve">Pan burger </t>
  </si>
  <si>
    <t>Pan lactal negro</t>
  </si>
  <si>
    <t xml:space="preserve">Pan rayado </t>
  </si>
  <si>
    <t xml:space="preserve">Panceta ahumada </t>
  </si>
  <si>
    <t xml:space="preserve">Papa </t>
  </si>
  <si>
    <t xml:space="preserve">Papaya </t>
  </si>
  <si>
    <t xml:space="preserve">Pato </t>
  </si>
  <si>
    <t xml:space="preserve">Pavo </t>
  </si>
  <si>
    <t xml:space="preserve">Peceto </t>
  </si>
  <si>
    <t xml:space="preserve">Pechugas de pollo </t>
  </si>
  <si>
    <t xml:space="preserve">Pejerrey de mar </t>
  </si>
  <si>
    <t xml:space="preserve">Pejerrey de rio </t>
  </si>
  <si>
    <t xml:space="preserve">Pepino </t>
  </si>
  <si>
    <t xml:space="preserve">Pera </t>
  </si>
  <si>
    <t>Perca</t>
  </si>
  <si>
    <t xml:space="preserve">Perejil </t>
  </si>
  <si>
    <t>Pescadilla</t>
  </si>
  <si>
    <t xml:space="preserve">Pimenton dulce </t>
  </si>
  <si>
    <t>Pimenton ahumado</t>
  </si>
  <si>
    <t xml:space="preserve">Pimienta </t>
  </si>
  <si>
    <t>Pimiento verde (chile)</t>
  </si>
  <si>
    <t xml:space="preserve">Piñones </t>
  </si>
  <si>
    <t xml:space="preserve">Polenta instantánea </t>
  </si>
  <si>
    <t xml:space="preserve">Pollo </t>
  </si>
  <si>
    <t>Pollo patamuslo</t>
  </si>
  <si>
    <t xml:space="preserve">Pollo alitas </t>
  </si>
  <si>
    <t xml:space="preserve">Polvo hornear </t>
  </si>
  <si>
    <t xml:space="preserve">Pomelo </t>
  </si>
  <si>
    <t xml:space="preserve">Pomelo rosado </t>
  </si>
  <si>
    <t xml:space="preserve">Poroto fresco </t>
  </si>
  <si>
    <t xml:space="preserve">Prosecco </t>
  </si>
  <si>
    <t xml:space="preserve">Puerro </t>
  </si>
  <si>
    <t xml:space="preserve">Pulpo </t>
  </si>
  <si>
    <t xml:space="preserve">Pure de tomate </t>
  </si>
  <si>
    <t xml:space="preserve">Queso azul </t>
  </si>
  <si>
    <t xml:space="preserve">Queso crema </t>
  </si>
  <si>
    <t xml:space="preserve">Queso parmesano </t>
  </si>
  <si>
    <t>Queso cheddar</t>
  </si>
  <si>
    <t xml:space="preserve">Queso rallado </t>
  </si>
  <si>
    <t xml:space="preserve">Radicheta </t>
  </si>
  <si>
    <t xml:space="preserve">Raya </t>
  </si>
  <si>
    <t xml:space="preserve">Remolacha </t>
  </si>
  <si>
    <t>Repollito de bruselas</t>
  </si>
  <si>
    <t>Repollo</t>
  </si>
  <si>
    <t xml:space="preserve">Ricotta </t>
  </si>
  <si>
    <t xml:space="preserve">Romero fresco </t>
  </si>
  <si>
    <t xml:space="preserve">Sal </t>
  </si>
  <si>
    <t>Salmón (entero)</t>
  </si>
  <si>
    <t xml:space="preserve">Salsa bechamel </t>
  </si>
  <si>
    <t xml:space="preserve">Salsa de pescado tai </t>
  </si>
  <si>
    <t xml:space="preserve">Salsa de soja </t>
  </si>
  <si>
    <t xml:space="preserve">Salsa tailandesa </t>
  </si>
  <si>
    <t xml:space="preserve">Salsifí </t>
  </si>
  <si>
    <t xml:space="preserve">Sandía </t>
  </si>
  <si>
    <t xml:space="preserve">Sardina </t>
  </si>
  <si>
    <t xml:space="preserve">Sardina envasada </t>
  </si>
  <si>
    <t>Semillas de amapola</t>
  </si>
  <si>
    <t xml:space="preserve">Semillas de sesamo </t>
  </si>
  <si>
    <t xml:space="preserve">Surubí </t>
  </si>
  <si>
    <t xml:space="preserve">Tapa de empanada </t>
  </si>
  <si>
    <t xml:space="preserve">Tentaculos de calamar </t>
  </si>
  <si>
    <t>Tia maria</t>
  </si>
  <si>
    <t>Tomate natural redondo</t>
  </si>
  <si>
    <t>Tomates cherry</t>
  </si>
  <si>
    <t>Tomates natural perita</t>
  </si>
  <si>
    <t xml:space="preserve">Tomates secos </t>
  </si>
  <si>
    <t xml:space="preserve">Tomillo fresco </t>
  </si>
  <si>
    <t xml:space="preserve">Tuna </t>
  </si>
  <si>
    <t xml:space="preserve">Uva </t>
  </si>
  <si>
    <t xml:space="preserve">Vacuno (nalga) </t>
  </si>
  <si>
    <t>Vacuno (Picada)</t>
  </si>
  <si>
    <t xml:space="preserve">Vacuno (puchero) </t>
  </si>
  <si>
    <t xml:space="preserve">Vacuno (tira de asado) </t>
  </si>
  <si>
    <t xml:space="preserve">Vainillas </t>
  </si>
  <si>
    <t xml:space="preserve">Vermuth rosso </t>
  </si>
  <si>
    <t xml:space="preserve">Vieras </t>
  </si>
  <si>
    <t>Vinagre</t>
  </si>
  <si>
    <t xml:space="preserve">Vino blanco </t>
  </si>
  <si>
    <t xml:space="preserve">Vino marsala </t>
  </si>
  <si>
    <t xml:space="preserve">Vino tinto </t>
  </si>
  <si>
    <t xml:space="preserve">Vodka </t>
  </si>
  <si>
    <t xml:space="preserve">Yogur </t>
  </si>
  <si>
    <t xml:space="preserve">Zanahoria </t>
  </si>
  <si>
    <t xml:space="preserve">Zapallito </t>
  </si>
  <si>
    <t xml:space="preserve">Zapallo </t>
  </si>
  <si>
    <t>Zuccini</t>
  </si>
  <si>
    <t>Costos de recetas</t>
  </si>
  <si>
    <t xml:space="preserve">Receta Nº 1 </t>
  </si>
  <si>
    <t>Nombre de la receta</t>
  </si>
  <si>
    <t>Precio de venta al publico</t>
  </si>
  <si>
    <t>Gramos por receta</t>
  </si>
  <si>
    <t>Cantidad de porciones</t>
  </si>
  <si>
    <t>Completar con número</t>
  </si>
  <si>
    <t>Insumo</t>
  </si>
  <si>
    <t>Peso Bruto (Grs o Un)</t>
  </si>
  <si>
    <t>Q Merma (Grs)</t>
  </si>
  <si>
    <t>Peso neto (Grs o Un)</t>
  </si>
  <si>
    <t xml:space="preserve">Costo real </t>
  </si>
  <si>
    <t>Distribucion</t>
  </si>
  <si>
    <t>Unidad</t>
  </si>
  <si>
    <t>Peso total</t>
  </si>
  <si>
    <t>grs</t>
  </si>
  <si>
    <t>Costo Total Preparación</t>
  </si>
  <si>
    <t>Receta Nº 2</t>
  </si>
  <si>
    <t>Receta Nº 3</t>
  </si>
  <si>
    <t>Receta Nº 4</t>
  </si>
  <si>
    <t>Receta Nº 5</t>
  </si>
  <si>
    <t>Receta Nº 6</t>
  </si>
  <si>
    <t>Receta Nº 7</t>
  </si>
  <si>
    <t>Receta Nº 8</t>
  </si>
  <si>
    <t>Receta Nº 9</t>
  </si>
  <si>
    <t>Receta Nº 10</t>
  </si>
  <si>
    <t>Receta Nº 11</t>
  </si>
  <si>
    <t>Receta Nº 12</t>
  </si>
  <si>
    <t>Receta Nº 13</t>
  </si>
  <si>
    <t>Receta Nº 14</t>
  </si>
  <si>
    <t>Receta Nº 15</t>
  </si>
  <si>
    <t>Receta Nº 16</t>
  </si>
  <si>
    <t>Receta Nº 17</t>
  </si>
  <si>
    <t>Receta Nº 18</t>
  </si>
  <si>
    <t>Receta Nº 19</t>
  </si>
  <si>
    <t>Receta Nº 20</t>
  </si>
  <si>
    <t>Nº de receta</t>
  </si>
  <si>
    <t>Tipos de producto</t>
  </si>
  <si>
    <t>Ud de medida</t>
  </si>
  <si>
    <t>Precio  de venta</t>
  </si>
  <si>
    <t>Ventas/Costos</t>
  </si>
  <si>
    <t>Activo / No activo</t>
  </si>
  <si>
    <t>Condición fiscal (elegí una)</t>
  </si>
  <si>
    <t xml:space="preserve">Grs </t>
  </si>
  <si>
    <t>Porcentaje</t>
  </si>
  <si>
    <t>Producto ( que producto de la carta o insumo)</t>
  </si>
  <si>
    <t>Cantidad en gramos (o unidades)</t>
  </si>
  <si>
    <t xml:space="preserve">Costo por gramo </t>
  </si>
  <si>
    <t>Motivo del desperdicio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</si>
</sst>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
    <numFmt numFmtId="166" formatCode="&quot;$&quot;#,##0.00"/>
  </numFmts>
  <fonts count="13" x14ac:knownFonts="1">
    <font>
      <sz val="10"/>
      <color rgb="FF000000"/>
      <name val="Arial"/>
      <scheme val="minor"/>
    </font>
    <font>
      <b/>
      <sz val="14"/>
      <color theme="1"/>
      <name val="Arial"/>
      <scheme val="minor"/>
    </font>
    <font>
      <sz val="10"/>
      <color theme="1"/>
      <name val="Arial"/>
      <scheme val="minor"/>
    </font>
    <font>
      <b/>
      <sz val="10"/>
      <color theme="1"/>
      <name val="Arial"/>
      <scheme val="minor"/>
    </font>
    <font>
      <sz val="10"/>
      <color theme="1"/>
      <name val="Arial"/>
      <scheme val="minor"/>
    </font>
    <font>
      <b/>
      <sz val="14"/>
      <color theme="1"/>
      <name val="Arial"/>
    </font>
    <font>
      <b/>
      <sz val="10"/>
      <color theme="1"/>
      <name val="Arial"/>
    </font>
    <font>
      <sz val="10"/>
      <color theme="1"/>
      <name val="Arial"/>
    </font>
    <font>
      <sz val="11"/>
      <color rgb="FF666666"/>
      <name val="Trebuchet MS"/>
    </font>
    <font>
      <b/>
      <sz val="11"/>
      <color rgb="FF000000"/>
      <name val="Arial"/>
    </font>
    <font>
      <sz val="11"/>
      <color rgb="FF000000"/>
      <name val="Arial"/>
    </font>
    <font>
      <sz val="11"/>
      <color theme="1"/>
      <name val="Calibri"/>
    </font>
    <font>
      <sz val="10"/>
      <color rgb="FF808080"/>
      <name val="Arial"/>
    </font>
  </fonts>
  <fills count="5">
    <fill>
      <patternFill patternType="none"/>
    </fill>
    <fill>
      <patternFill patternType="gray125"/>
    </fill>
    <fill>
      <patternFill patternType="solid">
        <fgColor rgb="FFEFEFEF"/>
        <bgColor rgb="FFEFEFEF"/>
      </patternFill>
    </fill>
    <fill>
      <patternFill patternType="solid">
        <fgColor rgb="FFD9D9D9"/>
        <bgColor rgb="FFD9D9D9"/>
      </patternFill>
    </fill>
    <fill>
      <patternFill patternType="solid">
        <fgColor rgb="FFFFFFFF"/>
        <bgColor rgb="FFFFFFFF"/>
      </patternFill>
    </fill>
  </fills>
  <borders count="1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85">
    <xf numFmtId="0" fontId="0" fillId="0" borderId="0" xfId="0"/>
    <xf numFmtId="0" fontId="3" fillId="2" borderId="4" xfId="0" applyFont="1" applyFill="1" applyBorder="1" applyAlignment="1">
      <alignment horizontal="center"/>
    </xf>
    <xf numFmtId="0" fontId="3" fillId="0" borderId="0" xfId="0" applyFont="1" applyAlignment="1">
      <alignment horizontal="center"/>
    </xf>
    <xf numFmtId="0" fontId="4" fillId="0" borderId="4" xfId="0" applyFont="1" applyBorder="1"/>
    <xf numFmtId="0" fontId="6" fillId="3" borderId="1" xfId="0" applyFont="1" applyFill="1" applyBorder="1" applyAlignment="1">
      <alignment horizontal="center"/>
    </xf>
    <xf numFmtId="0" fontId="6" fillId="3" borderId="5" xfId="0" applyFont="1" applyFill="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left" vertical="center"/>
    </xf>
    <xf numFmtId="0" fontId="8" fillId="4" borderId="6" xfId="0" applyFont="1" applyFill="1" applyBorder="1"/>
    <xf numFmtId="0" fontId="7" fillId="4" borderId="4" xfId="0" applyFont="1" applyFill="1" applyBorder="1"/>
    <xf numFmtId="0" fontId="4" fillId="4" borderId="4" xfId="0" applyFont="1" applyFill="1" applyBorder="1" applyAlignment="1">
      <alignment horizontal="center" vertical="center"/>
    </xf>
    <xf numFmtId="165" fontId="4" fillId="0" borderId="4" xfId="0" applyNumberFormat="1" applyFont="1" applyBorder="1" applyAlignment="1">
      <alignment vertical="center"/>
    </xf>
    <xf numFmtId="0" fontId="6" fillId="2" borderId="4" xfId="0" applyFont="1" applyFill="1" applyBorder="1" applyAlignment="1">
      <alignment horizontal="center"/>
    </xf>
    <xf numFmtId="0" fontId="7" fillId="0" borderId="4" xfId="0" applyFont="1" applyBorder="1"/>
    <xf numFmtId="166" fontId="7" fillId="2" borderId="4" xfId="0" applyNumberFormat="1" applyFont="1" applyFill="1" applyBorder="1"/>
    <xf numFmtId="49" fontId="7" fillId="3" borderId="4" xfId="0" applyNumberFormat="1" applyFont="1" applyFill="1" applyBorder="1"/>
    <xf numFmtId="0" fontId="7" fillId="3" borderId="4" xfId="0" applyFont="1" applyFill="1" applyBorder="1" applyAlignment="1">
      <alignment horizontal="center" vertical="center" wrapText="1"/>
    </xf>
    <xf numFmtId="49" fontId="7" fillId="3" borderId="6" xfId="0" applyNumberFormat="1" applyFont="1" applyFill="1" applyBorder="1"/>
    <xf numFmtId="49" fontId="7" fillId="3" borderId="3" xfId="0" applyNumberFormat="1" applyFont="1" applyFill="1" applyBorder="1"/>
    <xf numFmtId="0" fontId="8" fillId="4" borderId="4" xfId="0" applyFont="1" applyFill="1" applyBorder="1"/>
    <xf numFmtId="4" fontId="7" fillId="3" borderId="4" xfId="0" applyNumberFormat="1" applyFont="1" applyFill="1" applyBorder="1" applyAlignment="1">
      <alignment horizontal="center"/>
    </xf>
    <xf numFmtId="0" fontId="7" fillId="0" borderId="4" xfId="0" applyFont="1" applyBorder="1" applyAlignment="1">
      <alignment horizontal="center"/>
    </xf>
    <xf numFmtId="165" fontId="7" fillId="3" borderId="4" xfId="0" applyNumberFormat="1" applyFont="1" applyFill="1" applyBorder="1" applyAlignment="1">
      <alignment horizontal="center"/>
    </xf>
    <xf numFmtId="1" fontId="7" fillId="3" borderId="4" xfId="0" applyNumberFormat="1" applyFont="1" applyFill="1" applyBorder="1" applyAlignment="1">
      <alignment horizontal="center"/>
    </xf>
    <xf numFmtId="164" fontId="7" fillId="3" borderId="4" xfId="0" applyNumberFormat="1" applyFont="1" applyFill="1" applyBorder="1" applyAlignment="1">
      <alignment horizontal="center"/>
    </xf>
    <xf numFmtId="9" fontId="7" fillId="3" borderId="8" xfId="0" applyNumberFormat="1" applyFont="1" applyFill="1" applyBorder="1" applyAlignment="1">
      <alignment horizontal="center"/>
    </xf>
    <xf numFmtId="2" fontId="7" fillId="3" borderId="4" xfId="0" applyNumberFormat="1" applyFont="1" applyFill="1" applyBorder="1" applyAlignment="1">
      <alignment horizontal="center"/>
    </xf>
    <xf numFmtId="4" fontId="7" fillId="3" borderId="8" xfId="0" applyNumberFormat="1" applyFont="1" applyFill="1" applyBorder="1" applyAlignment="1">
      <alignment horizontal="center"/>
    </xf>
    <xf numFmtId="0" fontId="7" fillId="4" borderId="4" xfId="0" applyFont="1" applyFill="1" applyBorder="1" applyAlignment="1">
      <alignment horizontal="center"/>
    </xf>
    <xf numFmtId="164" fontId="7" fillId="3" borderId="8" xfId="0" applyNumberFormat="1" applyFont="1" applyFill="1" applyBorder="1" applyAlignment="1">
      <alignment horizontal="center"/>
    </xf>
    <xf numFmtId="10" fontId="7" fillId="3" borderId="8" xfId="0" applyNumberFormat="1" applyFont="1" applyFill="1" applyBorder="1" applyAlignment="1">
      <alignment horizontal="center"/>
    </xf>
    <xf numFmtId="0" fontId="6" fillId="3" borderId="4" xfId="0" applyFont="1" applyFill="1" applyBorder="1" applyAlignment="1">
      <alignment horizontal="center" vertical="center"/>
    </xf>
    <xf numFmtId="1" fontId="6" fillId="3" borderId="4" xfId="0" applyNumberFormat="1" applyFont="1" applyFill="1" applyBorder="1" applyAlignment="1">
      <alignment horizontal="center" vertical="center"/>
    </xf>
    <xf numFmtId="4" fontId="6" fillId="3" borderId="4" xfId="0" applyNumberFormat="1" applyFont="1" applyFill="1" applyBorder="1" applyAlignment="1">
      <alignment horizontal="center" vertical="center"/>
    </xf>
    <xf numFmtId="0" fontId="6" fillId="3" borderId="1" xfId="0" applyFont="1" applyFill="1" applyBorder="1" applyAlignment="1">
      <alignment horizontal="center" vertical="center" wrapText="1"/>
    </xf>
    <xf numFmtId="164" fontId="6" fillId="3" borderId="4" xfId="0" applyNumberFormat="1" applyFont="1" applyFill="1" applyBorder="1" applyAlignment="1">
      <alignment horizontal="center" vertical="center"/>
    </xf>
    <xf numFmtId="9" fontId="6" fillId="3" borderId="4" xfId="0" applyNumberFormat="1" applyFont="1" applyFill="1" applyBorder="1" applyAlignment="1">
      <alignment horizontal="center" vertical="center"/>
    </xf>
    <xf numFmtId="164" fontId="6" fillId="3" borderId="4" xfId="0" applyNumberFormat="1" applyFont="1" applyFill="1" applyBorder="1" applyAlignment="1">
      <alignment horizontal="center"/>
    </xf>
    <xf numFmtId="0" fontId="9" fillId="3" borderId="4" xfId="0" applyFont="1" applyFill="1" applyBorder="1"/>
    <xf numFmtId="0" fontId="9" fillId="3" borderId="4" xfId="0" applyFont="1" applyFill="1" applyBorder="1" applyAlignment="1">
      <alignment horizontal="center" wrapText="1"/>
    </xf>
    <xf numFmtId="0" fontId="10" fillId="3" borderId="6" xfId="0" applyFont="1" applyFill="1" applyBorder="1"/>
    <xf numFmtId="10" fontId="10" fillId="3" borderId="6" xfId="0" applyNumberFormat="1" applyFont="1" applyFill="1" applyBorder="1" applyAlignment="1">
      <alignment horizontal="center" wrapText="1"/>
    </xf>
    <xf numFmtId="0" fontId="10" fillId="3" borderId="4" xfId="0" applyFont="1" applyFill="1" applyBorder="1"/>
    <xf numFmtId="10" fontId="10" fillId="3" borderId="4" xfId="0" applyNumberFormat="1" applyFont="1" applyFill="1" applyBorder="1" applyAlignment="1">
      <alignment horizontal="center" wrapText="1"/>
    </xf>
    <xf numFmtId="0" fontId="6" fillId="3" borderId="9" xfId="0" applyFont="1" applyFill="1" applyBorder="1" applyAlignment="1">
      <alignment horizontal="center" vertical="center"/>
    </xf>
    <xf numFmtId="9" fontId="10" fillId="3" borderId="4" xfId="0" applyNumberFormat="1" applyFont="1" applyFill="1" applyBorder="1" applyAlignment="1">
      <alignment horizontal="center" wrapText="1"/>
    </xf>
    <xf numFmtId="0" fontId="10" fillId="3" borderId="4" xfId="0" applyFont="1" applyFill="1" applyBorder="1" applyAlignment="1">
      <alignment wrapText="1"/>
    </xf>
    <xf numFmtId="10" fontId="10" fillId="3" borderId="4" xfId="0" applyNumberFormat="1" applyFont="1" applyFill="1" applyBorder="1" applyAlignment="1">
      <alignment horizontal="center"/>
    </xf>
    <xf numFmtId="0" fontId="10" fillId="3" borderId="8" xfId="0" applyFont="1" applyFill="1" applyBorder="1"/>
    <xf numFmtId="10" fontId="10" fillId="3" borderId="8" xfId="0" applyNumberFormat="1" applyFont="1" applyFill="1" applyBorder="1" applyAlignment="1">
      <alignment horizontal="center"/>
    </xf>
    <xf numFmtId="0" fontId="4" fillId="3" borderId="4" xfId="0" applyFont="1" applyFill="1" applyBorder="1"/>
    <xf numFmtId="0" fontId="3" fillId="3" borderId="4" xfId="0" applyFont="1" applyFill="1" applyBorder="1" applyAlignment="1">
      <alignment horizontal="center" vertical="center" wrapText="1"/>
    </xf>
    <xf numFmtId="14" fontId="4" fillId="0" borderId="4" xfId="0" applyNumberFormat="1" applyFont="1" applyBorder="1" applyAlignment="1">
      <alignment horizontal="center"/>
    </xf>
    <xf numFmtId="0" fontId="4" fillId="0" borderId="4" xfId="0" applyFont="1" applyBorder="1" applyAlignment="1">
      <alignment horizontal="center"/>
    </xf>
    <xf numFmtId="164" fontId="4" fillId="3" borderId="4" xfId="0" applyNumberFormat="1" applyFont="1" applyFill="1" applyBorder="1" applyAlignment="1">
      <alignment horizontal="center"/>
    </xf>
    <xf numFmtId="0" fontId="7" fillId="0" borderId="0" xfId="0" applyFont="1"/>
    <xf numFmtId="0" fontId="11" fillId="4" borderId="4" xfId="0" applyFont="1" applyFill="1" applyBorder="1" applyAlignment="1">
      <alignment wrapText="1"/>
    </xf>
    <xf numFmtId="0" fontId="8" fillId="4" borderId="8" xfId="0" applyFont="1" applyFill="1" applyBorder="1"/>
    <xf numFmtId="165" fontId="4" fillId="0" borderId="4" xfId="0" applyNumberFormat="1" applyFont="1" applyBorder="1" applyAlignment="1">
      <alignment horizontal="center"/>
    </xf>
    <xf numFmtId="166" fontId="7" fillId="2" borderId="4" xfId="0" applyNumberFormat="1" applyFont="1" applyFill="1" applyBorder="1" applyAlignment="1">
      <alignment horizontal="center"/>
    </xf>
    <xf numFmtId="0" fontId="4" fillId="0" borderId="4" xfId="0" applyFont="1" applyBorder="1" applyAlignment="1">
      <alignment vertical="center" wrapText="1"/>
    </xf>
    <xf numFmtId="0" fontId="3" fillId="0" borderId="4" xfId="0" applyFont="1" applyBorder="1" applyAlignment="1">
      <alignment vertical="center" wrapText="1"/>
    </xf>
    <xf numFmtId="166" fontId="7" fillId="3" borderId="8" xfId="0" applyNumberFormat="1" applyFont="1" applyFill="1" applyBorder="1" applyAlignment="1">
      <alignment horizontal="center"/>
    </xf>
    <xf numFmtId="0" fontId="12" fillId="3" borderId="8" xfId="0" applyFont="1" applyFill="1" applyBorder="1" applyAlignment="1">
      <alignment horizontal="center"/>
    </xf>
    <xf numFmtId="166" fontId="6" fillId="3" borderId="4" xfId="0" applyNumberFormat="1" applyFont="1" applyFill="1" applyBorder="1" applyAlignment="1">
      <alignment horizontal="center"/>
    </xf>
    <xf numFmtId="0" fontId="3" fillId="0" borderId="0" xfId="0" applyFont="1" applyAlignment="1">
      <alignment horizontal="left" vertical="center"/>
    </xf>
    <xf numFmtId="0" fontId="1" fillId="2" borderId="4" xfId="0" applyFont="1" applyFill="1" applyBorder="1" applyAlignment="1">
      <alignment horizontal="center"/>
    </xf>
    <xf numFmtId="0" fontId="0" fillId="0" borderId="2" xfId="0" applyBorder="1"/>
    <xf numFmtId="0" fontId="0" fillId="0" borderId="3" xfId="0" applyBorder="1"/>
    <xf numFmtId="0" fontId="2" fillId="2" borderId="4" xfId="0" applyFont="1" applyFill="1" applyBorder="1" applyAlignment="1">
      <alignment horizontal="left"/>
    </xf>
    <xf numFmtId="0" fontId="4" fillId="0" borderId="4" xfId="0" applyFont="1" applyBorder="1"/>
    <xf numFmtId="0" fontId="2" fillId="2" borderId="4" xfId="0" applyFont="1" applyFill="1" applyBorder="1" applyAlignment="1">
      <alignment horizontal="left" wrapText="1"/>
    </xf>
    <xf numFmtId="0" fontId="5" fillId="2" borderId="4" xfId="0" applyFont="1" applyFill="1" applyBorder="1" applyAlignment="1">
      <alignment horizontal="center"/>
    </xf>
    <xf numFmtId="0" fontId="7" fillId="2" borderId="4" xfId="0" applyFont="1" applyFill="1" applyBorder="1"/>
    <xf numFmtId="1" fontId="6" fillId="3" borderId="4" xfId="0" applyNumberFormat="1" applyFont="1" applyFill="1" applyBorder="1" applyAlignment="1">
      <alignment horizontal="center"/>
    </xf>
    <xf numFmtId="0" fontId="7" fillId="4" borderId="4" xfId="0" applyFont="1" applyFill="1" applyBorder="1" applyAlignment="1">
      <alignment horizontal="center" vertical="center"/>
    </xf>
    <xf numFmtId="0" fontId="6" fillId="3" borderId="4" xfId="0" applyFont="1" applyFill="1" applyBorder="1" applyAlignment="1">
      <alignment horizontal="center"/>
    </xf>
    <xf numFmtId="164" fontId="7" fillId="4" borderId="3" xfId="0" applyNumberFormat="1" applyFont="1" applyFill="1" applyBorder="1" applyAlignment="1">
      <alignment horizontal="center" vertical="center"/>
    </xf>
    <xf numFmtId="49" fontId="7" fillId="4" borderId="6" xfId="0" applyNumberFormat="1" applyFont="1" applyFill="1" applyBorder="1" applyAlignment="1">
      <alignment horizontal="center"/>
    </xf>
    <xf numFmtId="0" fontId="0" fillId="0" borderId="7" xfId="0" applyBorder="1"/>
    <xf numFmtId="0" fontId="0" fillId="0" borderId="8" xfId="0" applyBorder="1"/>
    <xf numFmtId="0" fontId="7" fillId="4" borderId="2" xfId="0" applyFont="1" applyFill="1" applyBorder="1" applyAlignment="1">
      <alignment horizontal="center" vertical="center"/>
    </xf>
    <xf numFmtId="0" fontId="5" fillId="3" borderId="0" xfId="0" applyFont="1" applyFill="1" applyAlignment="1">
      <alignment horizontal="center"/>
    </xf>
    <xf numFmtId="0" fontId="0" fillId="0" borderId="0" xfId="0"/>
  </cellXfs>
  <cellStyles count="1">
    <cellStyle name="Normal" xfId="0" builtinId="0"/>
  </cellStyles>
  <dxfs count="39">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ont>
        <color rgb="FFC5311A"/>
      </font>
      <fill>
        <patternFill patternType="solid">
          <fgColor rgb="FFFBE7E4"/>
          <bgColor rgb="FFFBE7E4"/>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7" defaultTableStyle="TableStyleMedium9" defaultPivotStyle="PivotStyleLight16">
    <tableStyle name="Insumos -style" pivot="0" count="4" xr9:uid="{00000000-0011-0000-FFFF-FFFF00000000}">
      <tableStyleElement type="wholeTable" size="0" dxfId="35"/>
      <tableStyleElement type="headerRow" dxfId="38"/>
      <tableStyleElement type="firstRowStripe" dxfId="37"/>
      <tableStyleElement type="secondRowStripe" dxfId="36"/>
    </tableStyle>
    <tableStyle name="Margenes por producto -style" pivot="0" count="4" xr9:uid="{00000000-0011-0000-FFFF-FFFF01000000}">
      <tableStyleElement type="wholeTable" size="0" dxfId="31"/>
      <tableStyleElement type="headerRow" dxfId="34"/>
      <tableStyleElement type="firstRowStripe" dxfId="33"/>
      <tableStyleElement type="secondRowStripe" dxfId="32"/>
    </tableStyle>
    <tableStyle name="Margenes por producto -style 2" pivot="0" count="2" xr9:uid="{00000000-0011-0000-FFFF-FFFF02000000}">
      <tableStyleElement type="firstRowStripe" dxfId="30"/>
      <tableStyleElement type="secondRowStripe" dxfId="29"/>
    </tableStyle>
    <tableStyle name="Margenes por producto -style 3" pivot="0" count="2" xr9:uid="{00000000-0011-0000-FFFF-FFFF03000000}">
      <tableStyleElement type="firstRowStripe" dxfId="28"/>
      <tableStyleElement type="secondRowStripe" dxfId="27"/>
    </tableStyle>
    <tableStyle name="Margenes por producto -style 4" pivot="0" count="2" xr9:uid="{00000000-0011-0000-FFFF-FFFF04000000}">
      <tableStyleElement type="firstRowStripe" dxfId="26"/>
      <tableStyleElement type="secondRowStripe" dxfId="25"/>
    </tableStyle>
    <tableStyle name="Margenes por producto -style 5" pivot="0" count="2" xr9:uid="{00000000-0011-0000-FFFF-FFFF05000000}">
      <tableStyleElement type="firstRowStripe" dxfId="24"/>
      <tableStyleElement type="secondRowStripe" dxfId="23"/>
    </tableStyle>
    <tableStyle name="Margenes por producto -style 6" pivot="0" count="2" xr9:uid="{00000000-0011-0000-FFFF-FFFF06000000}">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2" displayName="Tabla_2" ref="A1:G283">
  <tableColumns count="7">
    <tableColumn id="1" xr3:uid="{00000000-0010-0000-0000-000001000000}" name="Insumos"/>
    <tableColumn id="2" xr3:uid="{00000000-0010-0000-0000-000002000000}" name="Tipo de Costo"/>
    <tableColumn id="3" xr3:uid="{00000000-0010-0000-0000-000003000000}" name="Proveedor"/>
    <tableColumn id="4" xr3:uid="{00000000-0010-0000-0000-000004000000}" name="Cantidad de Unidades por bulto (en gramos, mililitros o unidades)"/>
    <tableColumn id="5" xr3:uid="{00000000-0010-0000-0000-000005000000}" name="U. de medida bulto"/>
    <tableColumn id="6" xr3:uid="{00000000-0010-0000-0000-000006000000}" name="Costo del bulto"/>
    <tableColumn id="7" xr3:uid="{00000000-0010-0000-0000-000007000000}" name="Costo por unidad"/>
  </tableColumns>
  <tableStyleInfo name="Insumos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1" displayName="Tabla_1" ref="A1:K1" headerRowCount="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Margenes por producto -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1" displayName="Table_1" ref="J8:J12" headerRowCount="0">
  <tableColumns count="1">
    <tableColumn id="1" xr3:uid="{00000000-0010-0000-0200-000001000000}" name="Column1"/>
  </tableColumns>
  <tableStyleInfo name="Margenes por producto -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2" displayName="Table_2" ref="J19:J21" headerRowCount="0">
  <tableColumns count="1">
    <tableColumn id="1" xr3:uid="{00000000-0010-0000-0300-000001000000}" name="Column1"/>
  </tableColumns>
  <tableStyleInfo name="Margenes por producto -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3" displayName="Table_3" ref="J25:J28" headerRowCount="0">
  <tableColumns count="1">
    <tableColumn id="1" xr3:uid="{00000000-0010-0000-0400-000001000000}" name="Column1"/>
  </tableColumns>
  <tableStyleInfo name="Margenes por producto -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4" displayName="Table_4" ref="J35:J38" headerRowCount="0">
  <tableColumns count="1">
    <tableColumn id="1" xr3:uid="{00000000-0010-0000-0500-000001000000}" name="Column1"/>
  </tableColumns>
  <tableStyleInfo name="Margenes por producto -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J45:J48" headerRowCount="0">
  <tableColumns count="1">
    <tableColumn id="1" xr3:uid="{00000000-0010-0000-0600-000001000000}" name="Column1"/>
  </tableColumns>
  <tableStyleInfo name="Margenes por producto -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vmlDrawing" Target="../drawings/vmlDrawing2.v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K74"/>
  <sheetViews>
    <sheetView tabSelected="1" workbookViewId="0"/>
  </sheetViews>
  <sheetFormatPr baseColWidth="10" defaultColWidth="12.5703125" defaultRowHeight="15.75" customHeight="1" x14ac:dyDescent="0.2"/>
  <cols>
    <col min="1" max="1" width="24.42578125" customWidth="1"/>
    <col min="2" max="2" width="33.85546875" customWidth="1"/>
    <col min="3" max="3" width="87.85546875" customWidth="1"/>
  </cols>
  <sheetData>
    <row r="2" spans="1:11" ht="24" customHeight="1" x14ac:dyDescent="0.25">
      <c r="A2" s="67" t="s">
        <v>0</v>
      </c>
      <c r="B2" s="68"/>
      <c r="C2" s="69"/>
    </row>
    <row r="3" spans="1:11" ht="33" customHeight="1" x14ac:dyDescent="0.2">
      <c r="A3" s="72" t="s">
        <v>1</v>
      </c>
      <c r="B3" s="68"/>
      <c r="C3" s="69"/>
    </row>
    <row r="4" spans="1:11" ht="12.75" x14ac:dyDescent="0.2">
      <c r="A4" s="1" t="s">
        <v>2</v>
      </c>
      <c r="B4" s="1" t="s">
        <v>3</v>
      </c>
      <c r="C4" s="1" t="s">
        <v>4</v>
      </c>
      <c r="D4" s="2"/>
      <c r="E4" s="2"/>
      <c r="F4" s="2"/>
      <c r="G4" s="2"/>
      <c r="H4" s="2"/>
      <c r="I4" s="2"/>
      <c r="J4" s="2"/>
      <c r="K4" s="2"/>
    </row>
    <row r="5" spans="1:11" ht="12.75" x14ac:dyDescent="0.2">
      <c r="A5" s="3" t="s">
        <v>5</v>
      </c>
      <c r="B5" s="3" t="s">
        <v>6</v>
      </c>
      <c r="C5" s="3" t="s">
        <v>7</v>
      </c>
    </row>
    <row r="6" spans="1:11" ht="12.75" x14ac:dyDescent="0.2">
      <c r="A6" s="3" t="s">
        <v>8</v>
      </c>
      <c r="B6" s="3" t="s">
        <v>6</v>
      </c>
      <c r="C6" s="3" t="s">
        <v>9</v>
      </c>
    </row>
    <row r="7" spans="1:11" ht="12.75" x14ac:dyDescent="0.2">
      <c r="A7" s="3" t="s">
        <v>10</v>
      </c>
      <c r="B7" s="3" t="s">
        <v>6</v>
      </c>
      <c r="C7" s="3" t="s">
        <v>11</v>
      </c>
    </row>
    <row r="8" spans="1:11" ht="49.35" customHeight="1" x14ac:dyDescent="0.2">
      <c r="A8" s="61" t="s">
        <v>12</v>
      </c>
      <c r="B8" s="61" t="s">
        <v>6</v>
      </c>
      <c r="C8" s="61" t="s">
        <v>13</v>
      </c>
    </row>
    <row r="9" spans="1:11" ht="33.6" customHeight="1" x14ac:dyDescent="0.2">
      <c r="A9" s="61" t="s">
        <v>14</v>
      </c>
      <c r="B9" s="61" t="s">
        <v>6</v>
      </c>
      <c r="C9" s="61" t="s">
        <v>15</v>
      </c>
    </row>
    <row r="10" spans="1:11" ht="33.6" customHeight="1" x14ac:dyDescent="0.2">
      <c r="A10" s="61" t="s">
        <v>16</v>
      </c>
      <c r="B10" s="61" t="s">
        <v>6</v>
      </c>
      <c r="C10" s="61" t="s">
        <v>17</v>
      </c>
    </row>
    <row r="11" spans="1:11" ht="33.6" customHeight="1" x14ac:dyDescent="0.2">
      <c r="A11" s="61" t="s">
        <v>18</v>
      </c>
      <c r="B11" s="61" t="s">
        <v>19</v>
      </c>
      <c r="C11" s="61" t="s">
        <v>20</v>
      </c>
    </row>
    <row r="13" spans="1:11" ht="18" x14ac:dyDescent="0.25">
      <c r="A13" s="67" t="s">
        <v>21</v>
      </c>
      <c r="B13" s="68"/>
      <c r="C13" s="69"/>
    </row>
    <row r="14" spans="1:11" ht="24" customHeight="1" x14ac:dyDescent="0.2">
      <c r="A14" s="70" t="s">
        <v>22</v>
      </c>
      <c r="B14" s="68"/>
      <c r="C14" s="69"/>
    </row>
    <row r="15" spans="1:11" ht="12.75" x14ac:dyDescent="0.2">
      <c r="A15" s="1" t="s">
        <v>2</v>
      </c>
      <c r="B15" s="1" t="s">
        <v>3</v>
      </c>
      <c r="C15" s="1" t="s">
        <v>21</v>
      </c>
    </row>
    <row r="16" spans="1:11" ht="12.75" x14ac:dyDescent="0.2">
      <c r="A16" s="3" t="s">
        <v>23</v>
      </c>
      <c r="B16" s="3" t="s">
        <v>19</v>
      </c>
      <c r="C16" s="3" t="s">
        <v>24</v>
      </c>
    </row>
    <row r="17" spans="1:3" ht="12.75" x14ac:dyDescent="0.2">
      <c r="A17" s="3" t="s">
        <v>25</v>
      </c>
      <c r="B17" s="3" t="s">
        <v>6</v>
      </c>
      <c r="C17" s="3" t="s">
        <v>26</v>
      </c>
    </row>
    <row r="18" spans="1:3" ht="12.75" x14ac:dyDescent="0.2">
      <c r="A18" s="3" t="s">
        <v>27</v>
      </c>
      <c r="B18" s="3" t="s">
        <v>6</v>
      </c>
      <c r="C18" s="3" t="s">
        <v>28</v>
      </c>
    </row>
    <row r="19" spans="1:3" ht="12.75" x14ac:dyDescent="0.2">
      <c r="A19" s="3" t="s">
        <v>29</v>
      </c>
      <c r="B19" s="3" t="s">
        <v>6</v>
      </c>
      <c r="C19" s="3" t="s">
        <v>30</v>
      </c>
    </row>
    <row r="20" spans="1:3" ht="12.75" x14ac:dyDescent="0.2">
      <c r="A20" s="3" t="s">
        <v>31</v>
      </c>
      <c r="B20" s="3" t="s">
        <v>6</v>
      </c>
      <c r="C20" s="3" t="s">
        <v>32</v>
      </c>
    </row>
    <row r="21" spans="1:3" ht="12.75" x14ac:dyDescent="0.2">
      <c r="A21" s="3" t="s">
        <v>33</v>
      </c>
      <c r="B21" s="3" t="s">
        <v>19</v>
      </c>
      <c r="C21" s="3" t="s">
        <v>34</v>
      </c>
    </row>
    <row r="22" spans="1:3" ht="12.75" x14ac:dyDescent="0.2">
      <c r="A22" s="3" t="s">
        <v>35</v>
      </c>
      <c r="B22" s="3" t="s">
        <v>19</v>
      </c>
      <c r="C22" s="3" t="s">
        <v>36</v>
      </c>
    </row>
    <row r="23" spans="1:3" ht="49.35" customHeight="1" x14ac:dyDescent="0.2">
      <c r="A23" s="61" t="s">
        <v>37</v>
      </c>
      <c r="B23" s="61" t="s">
        <v>6</v>
      </c>
      <c r="C23" s="61" t="s">
        <v>38</v>
      </c>
    </row>
    <row r="24" spans="1:3" ht="33.6" customHeight="1" x14ac:dyDescent="0.2">
      <c r="A24" s="61" t="s">
        <v>39</v>
      </c>
      <c r="B24" s="61" t="s">
        <v>19</v>
      </c>
      <c r="C24" s="61" t="s">
        <v>40</v>
      </c>
    </row>
    <row r="25" spans="1:3" ht="33.6" customHeight="1" x14ac:dyDescent="0.2">
      <c r="A25" s="61" t="s">
        <v>41</v>
      </c>
      <c r="B25" s="61" t="s">
        <v>19</v>
      </c>
      <c r="C25" s="61" t="s">
        <v>42</v>
      </c>
    </row>
    <row r="26" spans="1:3" ht="12.75" x14ac:dyDescent="0.2">
      <c r="A26" s="3" t="s">
        <v>43</v>
      </c>
      <c r="B26" s="3" t="s">
        <v>19</v>
      </c>
      <c r="C26" s="3" t="s">
        <v>44</v>
      </c>
    </row>
    <row r="27" spans="1:3" ht="33.6" customHeight="1" x14ac:dyDescent="0.2">
      <c r="A27" s="61" t="s">
        <v>45</v>
      </c>
      <c r="B27" s="61" t="s">
        <v>6</v>
      </c>
      <c r="C27" s="61" t="s">
        <v>46</v>
      </c>
    </row>
    <row r="28" spans="1:3" ht="33.6" customHeight="1" x14ac:dyDescent="0.2">
      <c r="A28" s="61" t="s">
        <v>47</v>
      </c>
      <c r="B28" s="61" t="s">
        <v>19</v>
      </c>
      <c r="C28" s="61" t="s">
        <v>48</v>
      </c>
    </row>
    <row r="29" spans="1:3" ht="12.75" x14ac:dyDescent="0.2">
      <c r="A29" s="3" t="s">
        <v>49</v>
      </c>
      <c r="B29" s="3" t="s">
        <v>19</v>
      </c>
      <c r="C29" s="3" t="s">
        <v>50</v>
      </c>
    </row>
    <row r="30" spans="1:3" ht="12.75" x14ac:dyDescent="0.2">
      <c r="A30" s="3" t="s">
        <v>51</v>
      </c>
      <c r="B30" s="3" t="s">
        <v>19</v>
      </c>
      <c r="C30" s="3" t="s">
        <v>52</v>
      </c>
    </row>
    <row r="31" spans="1:3" ht="12.75" x14ac:dyDescent="0.2">
      <c r="A31" s="3" t="s">
        <v>53</v>
      </c>
      <c r="B31" s="3" t="s">
        <v>19</v>
      </c>
      <c r="C31" s="3" t="s">
        <v>54</v>
      </c>
    </row>
    <row r="32" spans="1:3" ht="12.75" x14ac:dyDescent="0.2">
      <c r="A32" s="3" t="s">
        <v>55</v>
      </c>
      <c r="B32" s="3" t="s">
        <v>19</v>
      </c>
      <c r="C32" s="3" t="s">
        <v>56</v>
      </c>
    </row>
    <row r="33" spans="1:3" ht="12.75" x14ac:dyDescent="0.2">
      <c r="A33" s="3" t="s">
        <v>57</v>
      </c>
      <c r="B33" s="3" t="s">
        <v>19</v>
      </c>
      <c r="C33" s="3" t="s">
        <v>58</v>
      </c>
    </row>
    <row r="34" spans="1:3" ht="12.75" x14ac:dyDescent="0.2">
      <c r="A34" s="3" t="s">
        <v>59</v>
      </c>
      <c r="B34" s="3" t="s">
        <v>19</v>
      </c>
      <c r="C34" s="3" t="s">
        <v>60</v>
      </c>
    </row>
    <row r="36" spans="1:3" ht="18" x14ac:dyDescent="0.25">
      <c r="A36" s="67" t="s">
        <v>61</v>
      </c>
      <c r="B36" s="68"/>
      <c r="C36" s="69"/>
    </row>
    <row r="37" spans="1:3" ht="12.75" x14ac:dyDescent="0.2">
      <c r="A37" s="70" t="s">
        <v>62</v>
      </c>
      <c r="B37" s="68"/>
      <c r="C37" s="69"/>
    </row>
    <row r="38" spans="1:3" ht="12.75" x14ac:dyDescent="0.2">
      <c r="A38" s="1" t="s">
        <v>2</v>
      </c>
      <c r="B38" s="1" t="s">
        <v>3</v>
      </c>
      <c r="C38" s="1" t="s">
        <v>21</v>
      </c>
    </row>
    <row r="39" spans="1:3" ht="12.75" x14ac:dyDescent="0.2">
      <c r="A39" s="3" t="s">
        <v>63</v>
      </c>
      <c r="B39" s="3" t="s">
        <v>19</v>
      </c>
      <c r="C39" s="3" t="s">
        <v>64</v>
      </c>
    </row>
    <row r="40" spans="1:3" ht="12.75" x14ac:dyDescent="0.2">
      <c r="A40" s="3" t="s">
        <v>27</v>
      </c>
      <c r="B40" s="3" t="s">
        <v>19</v>
      </c>
      <c r="C40" s="3" t="s">
        <v>65</v>
      </c>
    </row>
    <row r="41" spans="1:3" ht="12.75" x14ac:dyDescent="0.2">
      <c r="A41" s="3" t="s">
        <v>66</v>
      </c>
      <c r="B41" s="3" t="s">
        <v>19</v>
      </c>
      <c r="C41" s="3" t="s">
        <v>67</v>
      </c>
    </row>
    <row r="42" spans="1:3" ht="12.75" x14ac:dyDescent="0.2">
      <c r="A42" s="3" t="s">
        <v>68</v>
      </c>
      <c r="B42" s="3" t="s">
        <v>19</v>
      </c>
      <c r="C42" s="3" t="s">
        <v>69</v>
      </c>
    </row>
    <row r="43" spans="1:3" ht="12.75" x14ac:dyDescent="0.2">
      <c r="A43" s="3" t="s">
        <v>70</v>
      </c>
      <c r="B43" s="3" t="s">
        <v>19</v>
      </c>
      <c r="C43" s="3" t="s">
        <v>71</v>
      </c>
    </row>
    <row r="44" spans="1:3" ht="12.75" x14ac:dyDescent="0.2">
      <c r="A44" s="3" t="s">
        <v>72</v>
      </c>
      <c r="B44" s="3" t="s">
        <v>19</v>
      </c>
      <c r="C44" s="3" t="s">
        <v>73</v>
      </c>
    </row>
    <row r="45" spans="1:3" ht="12.75" x14ac:dyDescent="0.2">
      <c r="A45" s="3" t="s">
        <v>74</v>
      </c>
      <c r="B45" s="3" t="s">
        <v>19</v>
      </c>
      <c r="C45" s="3" t="s">
        <v>75</v>
      </c>
    </row>
    <row r="46" spans="1:3" ht="33.6" customHeight="1" x14ac:dyDescent="0.2">
      <c r="A46" s="61" t="s">
        <v>76</v>
      </c>
      <c r="B46" s="61" t="s">
        <v>19</v>
      </c>
      <c r="C46" s="61" t="s">
        <v>77</v>
      </c>
    </row>
    <row r="47" spans="1:3" ht="33.6" customHeight="1" x14ac:dyDescent="0.2">
      <c r="A47" s="61" t="s">
        <v>78</v>
      </c>
      <c r="B47" s="61" t="s">
        <v>19</v>
      </c>
      <c r="C47" s="61" t="s">
        <v>79</v>
      </c>
    </row>
    <row r="48" spans="1:3" ht="12.75" x14ac:dyDescent="0.2">
      <c r="A48" s="3" t="s">
        <v>80</v>
      </c>
      <c r="B48" s="3" t="s">
        <v>6</v>
      </c>
      <c r="C48" s="3" t="s">
        <v>81</v>
      </c>
    </row>
    <row r="50" spans="1:3" ht="18" x14ac:dyDescent="0.25">
      <c r="A50" s="73" t="s">
        <v>82</v>
      </c>
      <c r="B50" s="68"/>
      <c r="C50" s="69"/>
    </row>
    <row r="51" spans="1:3" ht="12.75" x14ac:dyDescent="0.2">
      <c r="A51" s="74" t="s">
        <v>83</v>
      </c>
      <c r="B51" s="68"/>
      <c r="C51" s="69"/>
    </row>
    <row r="52" spans="1:3" ht="12.75" x14ac:dyDescent="0.2">
      <c r="A52" s="13" t="s">
        <v>2</v>
      </c>
      <c r="B52" s="13" t="s">
        <v>3</v>
      </c>
      <c r="C52" s="13" t="s">
        <v>21</v>
      </c>
    </row>
    <row r="53" spans="1:3" ht="12.75" x14ac:dyDescent="0.2">
      <c r="A53" s="14" t="s">
        <v>37</v>
      </c>
      <c r="B53" s="14" t="s">
        <v>19</v>
      </c>
      <c r="C53" s="14" t="s">
        <v>84</v>
      </c>
    </row>
    <row r="54" spans="1:3" ht="12.75" x14ac:dyDescent="0.2">
      <c r="A54" s="14" t="s">
        <v>85</v>
      </c>
      <c r="B54" s="14" t="s">
        <v>19</v>
      </c>
      <c r="C54" s="14" t="s">
        <v>86</v>
      </c>
    </row>
    <row r="56" spans="1:3" ht="18" x14ac:dyDescent="0.25">
      <c r="A56" s="67" t="s">
        <v>87</v>
      </c>
      <c r="B56" s="68"/>
      <c r="C56" s="69"/>
    </row>
    <row r="57" spans="1:3" ht="12.75" x14ac:dyDescent="0.2">
      <c r="A57" s="70" t="s">
        <v>88</v>
      </c>
      <c r="B57" s="68"/>
      <c r="C57" s="69"/>
    </row>
    <row r="58" spans="1:3" ht="12.75" x14ac:dyDescent="0.2">
      <c r="A58" s="1" t="s">
        <v>2</v>
      </c>
      <c r="B58" s="1" t="s">
        <v>3</v>
      </c>
      <c r="C58" s="1" t="s">
        <v>21</v>
      </c>
    </row>
    <row r="59" spans="1:3" ht="12.75" x14ac:dyDescent="0.2">
      <c r="A59" s="3" t="s">
        <v>89</v>
      </c>
      <c r="B59" s="3" t="s">
        <v>6</v>
      </c>
      <c r="C59" s="3" t="s">
        <v>90</v>
      </c>
    </row>
    <row r="60" spans="1:3" ht="12.75" x14ac:dyDescent="0.2">
      <c r="A60" s="3" t="s">
        <v>91</v>
      </c>
      <c r="B60" s="3" t="s">
        <v>19</v>
      </c>
      <c r="C60" s="3" t="s">
        <v>92</v>
      </c>
    </row>
    <row r="61" spans="1:3" ht="12.75" x14ac:dyDescent="0.2">
      <c r="A61" s="3" t="s">
        <v>66</v>
      </c>
      <c r="B61" s="3" t="s">
        <v>6</v>
      </c>
      <c r="C61" s="3" t="s">
        <v>93</v>
      </c>
    </row>
    <row r="62" spans="1:3" ht="12.75" x14ac:dyDescent="0.2">
      <c r="A62" s="3" t="s">
        <v>94</v>
      </c>
      <c r="B62" s="3" t="s">
        <v>6</v>
      </c>
      <c r="C62" s="3" t="s">
        <v>95</v>
      </c>
    </row>
    <row r="63" spans="1:3" ht="12.75" x14ac:dyDescent="0.2">
      <c r="A63" s="3" t="s">
        <v>96</v>
      </c>
      <c r="B63" s="3" t="s">
        <v>19</v>
      </c>
      <c r="C63" s="3" t="s">
        <v>97</v>
      </c>
    </row>
    <row r="64" spans="1:3" ht="12.75" x14ac:dyDescent="0.2">
      <c r="A64" s="3" t="s">
        <v>98</v>
      </c>
      <c r="B64" s="3" t="s">
        <v>19</v>
      </c>
      <c r="C64" s="3" t="s">
        <v>99</v>
      </c>
    </row>
    <row r="65" spans="1:3" ht="12.75" x14ac:dyDescent="0.2">
      <c r="A65" s="3" t="s">
        <v>100</v>
      </c>
      <c r="B65" s="3" t="s">
        <v>6</v>
      </c>
      <c r="C65" s="3" t="s">
        <v>101</v>
      </c>
    </row>
    <row r="67" spans="1:3" ht="18" x14ac:dyDescent="0.25">
      <c r="A67" s="67" t="s">
        <v>102</v>
      </c>
      <c r="B67" s="68"/>
      <c r="C67" s="69"/>
    </row>
    <row r="68" spans="1:3" ht="24" customHeight="1" x14ac:dyDescent="0.2">
      <c r="A68" s="70" t="s">
        <v>103</v>
      </c>
      <c r="B68" s="68"/>
      <c r="C68" s="69"/>
    </row>
    <row r="69" spans="1:3" ht="12.75" x14ac:dyDescent="0.2">
      <c r="A69" s="1" t="s">
        <v>104</v>
      </c>
      <c r="B69" s="1" t="s">
        <v>105</v>
      </c>
      <c r="C69" s="1" t="s">
        <v>106</v>
      </c>
    </row>
    <row r="70" spans="1:3" ht="33.6" customHeight="1" x14ac:dyDescent="0.2">
      <c r="A70" s="62" t="s">
        <v>107</v>
      </c>
      <c r="B70" s="61" t="s">
        <v>108</v>
      </c>
      <c r="C70" s="61" t="s">
        <v>109</v>
      </c>
    </row>
    <row r="71" spans="1:3" ht="33.6" customHeight="1" x14ac:dyDescent="0.2">
      <c r="A71" s="62" t="s">
        <v>110</v>
      </c>
      <c r="B71" s="61" t="s">
        <v>111</v>
      </c>
      <c r="C71" s="61" t="s">
        <v>112</v>
      </c>
    </row>
    <row r="72" spans="1:3" ht="33.6" customHeight="1" x14ac:dyDescent="0.2">
      <c r="A72" s="61" t="s">
        <v>113</v>
      </c>
      <c r="B72" s="61" t="s">
        <v>6</v>
      </c>
      <c r="C72" s="61" t="s">
        <v>114</v>
      </c>
    </row>
    <row r="73" spans="1:3" ht="33.6" customHeight="1" x14ac:dyDescent="0.2">
      <c r="A73" s="61" t="s">
        <v>115</v>
      </c>
      <c r="B73" s="61" t="s">
        <v>19</v>
      </c>
      <c r="C73" s="61" t="s">
        <v>116</v>
      </c>
    </row>
    <row r="74" spans="1:3" ht="12.75" x14ac:dyDescent="0.2">
      <c r="A74" s="71" t="s">
        <v>117</v>
      </c>
      <c r="B74" s="68"/>
      <c r="C74" s="69"/>
    </row>
  </sheetData>
  <mergeCells count="13">
    <mergeCell ref="A2:C2"/>
    <mergeCell ref="A51:C51"/>
    <mergeCell ref="A74:C74"/>
    <mergeCell ref="A56:C56"/>
    <mergeCell ref="A67:C67"/>
    <mergeCell ref="A3:C3"/>
    <mergeCell ref="A50:C50"/>
    <mergeCell ref="A57:C57"/>
    <mergeCell ref="A36:C36"/>
    <mergeCell ref="A13:C13"/>
    <mergeCell ref="A68:C68"/>
    <mergeCell ref="A37:C37"/>
    <mergeCell ref="A14:C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313"/>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 width="35.42578125" customWidth="1"/>
    <col min="2" max="2" width="19.85546875" customWidth="1"/>
    <col min="3" max="3" width="15.7109375" customWidth="1"/>
    <col min="4" max="4" width="26.85546875" customWidth="1"/>
    <col min="5" max="5" width="23.5703125" customWidth="1"/>
    <col min="6" max="6" width="20.85546875" customWidth="1"/>
    <col min="7" max="7" width="22.42578125" customWidth="1"/>
    <col min="9" max="9" width="16.140625" customWidth="1"/>
  </cols>
  <sheetData>
    <row r="1" spans="1:7" ht="22.5" customHeight="1" x14ac:dyDescent="0.2">
      <c r="A1" s="6" t="s">
        <v>118</v>
      </c>
      <c r="B1" s="6" t="s">
        <v>119</v>
      </c>
      <c r="C1" s="6" t="s">
        <v>120</v>
      </c>
      <c r="D1" s="7" t="s">
        <v>121</v>
      </c>
      <c r="E1" s="6" t="s">
        <v>14</v>
      </c>
      <c r="F1" s="6" t="s">
        <v>16</v>
      </c>
      <c r="G1" s="6" t="s">
        <v>18</v>
      </c>
    </row>
    <row r="2" spans="1:7" ht="22.5" customHeight="1" x14ac:dyDescent="0.3">
      <c r="A2" s="9" t="s">
        <v>122</v>
      </c>
      <c r="B2" s="10"/>
      <c r="C2" s="11"/>
      <c r="D2" s="10"/>
      <c r="E2" s="10"/>
      <c r="F2" s="12"/>
      <c r="G2" s="15" t="str">
        <f t="shared" ref="G2:G65" si="0">IFERROR(F2/D2, "-")</f>
        <v>-</v>
      </c>
    </row>
    <row r="3" spans="1:7" ht="22.5" customHeight="1" x14ac:dyDescent="0.3">
      <c r="A3" s="20" t="s">
        <v>123</v>
      </c>
      <c r="B3" s="10"/>
      <c r="C3" s="11"/>
      <c r="D3" s="10"/>
      <c r="E3" s="10"/>
      <c r="F3" s="12"/>
      <c r="G3" s="15" t="str">
        <f t="shared" si="0"/>
        <v>-</v>
      </c>
    </row>
    <row r="4" spans="1:7" ht="22.5" customHeight="1" x14ac:dyDescent="0.3">
      <c r="A4" s="20" t="s">
        <v>124</v>
      </c>
      <c r="B4" s="10"/>
      <c r="C4" s="11"/>
      <c r="D4" s="10"/>
      <c r="E4" s="10"/>
      <c r="F4" s="12"/>
      <c r="G4" s="15" t="str">
        <f t="shared" si="0"/>
        <v>-</v>
      </c>
    </row>
    <row r="5" spans="1:7" ht="22.5" customHeight="1" x14ac:dyDescent="0.3">
      <c r="A5" s="20" t="s">
        <v>125</v>
      </c>
      <c r="B5" s="10"/>
      <c r="C5" s="11"/>
      <c r="D5" s="10"/>
      <c r="E5" s="10"/>
      <c r="F5" s="12"/>
      <c r="G5" s="15" t="str">
        <f t="shared" si="0"/>
        <v>-</v>
      </c>
    </row>
    <row r="6" spans="1:7" ht="22.5" customHeight="1" x14ac:dyDescent="0.3">
      <c r="A6" s="20" t="s">
        <v>126</v>
      </c>
      <c r="B6" s="10"/>
      <c r="C6" s="11"/>
      <c r="D6" s="10"/>
      <c r="E6" s="10"/>
      <c r="F6" s="12"/>
      <c r="G6" s="15" t="str">
        <f t="shared" si="0"/>
        <v>-</v>
      </c>
    </row>
    <row r="7" spans="1:7" ht="22.5" customHeight="1" x14ac:dyDescent="0.3">
      <c r="A7" s="20" t="s">
        <v>127</v>
      </c>
      <c r="B7" s="10"/>
      <c r="C7" s="11"/>
      <c r="D7" s="10"/>
      <c r="E7" s="10"/>
      <c r="F7" s="12"/>
      <c r="G7" s="15" t="str">
        <f t="shared" si="0"/>
        <v>-</v>
      </c>
    </row>
    <row r="8" spans="1:7" ht="22.5" customHeight="1" x14ac:dyDescent="0.3">
      <c r="A8" s="20" t="s">
        <v>128</v>
      </c>
      <c r="B8" s="10"/>
      <c r="C8" s="11"/>
      <c r="D8" s="10"/>
      <c r="E8" s="10"/>
      <c r="F8" s="12"/>
      <c r="G8" s="15" t="str">
        <f t="shared" si="0"/>
        <v>-</v>
      </c>
    </row>
    <row r="9" spans="1:7" ht="22.5" customHeight="1" x14ac:dyDescent="0.3">
      <c r="A9" s="20" t="s">
        <v>129</v>
      </c>
      <c r="B9" s="10"/>
      <c r="C9" s="11"/>
      <c r="D9" s="10"/>
      <c r="E9" s="10"/>
      <c r="F9" s="12"/>
      <c r="G9" s="15" t="str">
        <f t="shared" si="0"/>
        <v>-</v>
      </c>
    </row>
    <row r="10" spans="1:7" ht="22.5" customHeight="1" x14ac:dyDescent="0.3">
      <c r="A10" s="20" t="s">
        <v>130</v>
      </c>
      <c r="B10" s="10"/>
      <c r="C10" s="11"/>
      <c r="D10" s="10"/>
      <c r="E10" s="10"/>
      <c r="F10" s="12"/>
      <c r="G10" s="15" t="str">
        <f t="shared" si="0"/>
        <v>-</v>
      </c>
    </row>
    <row r="11" spans="1:7" ht="22.5" customHeight="1" x14ac:dyDescent="0.3">
      <c r="A11" s="20" t="s">
        <v>131</v>
      </c>
      <c r="B11" s="10"/>
      <c r="C11" s="11"/>
      <c r="D11" s="10"/>
      <c r="E11" s="10"/>
      <c r="F11" s="12"/>
      <c r="G11" s="15" t="str">
        <f t="shared" si="0"/>
        <v>-</v>
      </c>
    </row>
    <row r="12" spans="1:7" ht="22.5" customHeight="1" x14ac:dyDescent="0.3">
      <c r="A12" s="20" t="s">
        <v>132</v>
      </c>
      <c r="B12" s="10"/>
      <c r="C12" s="11"/>
      <c r="D12" s="10"/>
      <c r="E12" s="10"/>
      <c r="F12" s="12"/>
      <c r="G12" s="15" t="str">
        <f t="shared" si="0"/>
        <v>-</v>
      </c>
    </row>
    <row r="13" spans="1:7" ht="22.5" customHeight="1" x14ac:dyDescent="0.3">
      <c r="A13" s="20" t="s">
        <v>133</v>
      </c>
      <c r="B13" s="10"/>
      <c r="C13" s="11"/>
      <c r="D13" s="10"/>
      <c r="E13" s="10"/>
      <c r="F13" s="12"/>
      <c r="G13" s="15" t="str">
        <f t="shared" si="0"/>
        <v>-</v>
      </c>
    </row>
    <row r="14" spans="1:7" ht="22.5" customHeight="1" x14ac:dyDescent="0.3">
      <c r="A14" s="20" t="s">
        <v>134</v>
      </c>
      <c r="B14" s="10"/>
      <c r="C14" s="11"/>
      <c r="D14" s="10"/>
      <c r="E14" s="10"/>
      <c r="F14" s="12"/>
      <c r="G14" s="15" t="str">
        <f t="shared" si="0"/>
        <v>-</v>
      </c>
    </row>
    <row r="15" spans="1:7" ht="22.5" customHeight="1" x14ac:dyDescent="0.3">
      <c r="A15" s="20" t="s">
        <v>135</v>
      </c>
      <c r="B15" s="10"/>
      <c r="C15" s="11"/>
      <c r="D15" s="10"/>
      <c r="E15" s="10"/>
      <c r="F15" s="12"/>
      <c r="G15" s="15" t="str">
        <f t="shared" si="0"/>
        <v>-</v>
      </c>
    </row>
    <row r="16" spans="1:7" ht="22.5" customHeight="1" x14ac:dyDescent="0.3">
      <c r="A16" s="20" t="s">
        <v>136</v>
      </c>
      <c r="B16" s="10"/>
      <c r="C16" s="11"/>
      <c r="D16" s="10"/>
      <c r="E16" s="10"/>
      <c r="F16" s="12"/>
      <c r="G16" s="15" t="str">
        <f t="shared" si="0"/>
        <v>-</v>
      </c>
    </row>
    <row r="17" spans="1:7" ht="22.5" customHeight="1" x14ac:dyDescent="0.3">
      <c r="A17" s="20" t="s">
        <v>137</v>
      </c>
      <c r="B17" s="10"/>
      <c r="C17" s="11"/>
      <c r="D17" s="10"/>
      <c r="E17" s="10"/>
      <c r="F17" s="12"/>
      <c r="G17" s="15" t="str">
        <f t="shared" si="0"/>
        <v>-</v>
      </c>
    </row>
    <row r="18" spans="1:7" ht="22.5" customHeight="1" x14ac:dyDescent="0.3">
      <c r="A18" s="20" t="s">
        <v>138</v>
      </c>
      <c r="B18" s="10"/>
      <c r="C18" s="11"/>
      <c r="D18" s="10"/>
      <c r="E18" s="10"/>
      <c r="F18" s="12"/>
      <c r="G18" s="15" t="str">
        <f t="shared" si="0"/>
        <v>-</v>
      </c>
    </row>
    <row r="19" spans="1:7" ht="22.5" customHeight="1" x14ac:dyDescent="0.3">
      <c r="A19" s="20" t="s">
        <v>139</v>
      </c>
      <c r="B19" s="10"/>
      <c r="C19" s="11"/>
      <c r="D19" s="10"/>
      <c r="E19" s="10"/>
      <c r="F19" s="12"/>
      <c r="G19" s="15" t="str">
        <f t="shared" si="0"/>
        <v>-</v>
      </c>
    </row>
    <row r="20" spans="1:7" ht="22.5" customHeight="1" x14ac:dyDescent="0.3">
      <c r="A20" s="20" t="s">
        <v>140</v>
      </c>
      <c r="B20" s="10"/>
      <c r="C20" s="11"/>
      <c r="D20" s="10"/>
      <c r="E20" s="10"/>
      <c r="F20" s="12"/>
      <c r="G20" s="15" t="str">
        <f t="shared" si="0"/>
        <v>-</v>
      </c>
    </row>
    <row r="21" spans="1:7" ht="22.5" customHeight="1" x14ac:dyDescent="0.3">
      <c r="A21" s="20" t="s">
        <v>141</v>
      </c>
      <c r="B21" s="10"/>
      <c r="C21" s="11"/>
      <c r="D21" s="10"/>
      <c r="E21" s="10"/>
      <c r="F21" s="12"/>
      <c r="G21" s="15" t="str">
        <f t="shared" si="0"/>
        <v>-</v>
      </c>
    </row>
    <row r="22" spans="1:7" ht="22.5" customHeight="1" x14ac:dyDescent="0.3">
      <c r="A22" s="20" t="s">
        <v>142</v>
      </c>
      <c r="B22" s="10"/>
      <c r="C22" s="11"/>
      <c r="D22" s="10"/>
      <c r="E22" s="10"/>
      <c r="F22" s="12"/>
      <c r="G22" s="15" t="str">
        <f t="shared" si="0"/>
        <v>-</v>
      </c>
    </row>
    <row r="23" spans="1:7" ht="22.5" customHeight="1" x14ac:dyDescent="0.3">
      <c r="A23" s="20" t="s">
        <v>143</v>
      </c>
      <c r="B23" s="10"/>
      <c r="C23" s="11"/>
      <c r="D23" s="10"/>
      <c r="E23" s="10"/>
      <c r="F23" s="12"/>
      <c r="G23" s="15" t="str">
        <f t="shared" si="0"/>
        <v>-</v>
      </c>
    </row>
    <row r="24" spans="1:7" ht="22.5" customHeight="1" x14ac:dyDescent="0.3">
      <c r="A24" s="20" t="s">
        <v>144</v>
      </c>
      <c r="B24" s="10"/>
      <c r="C24" s="11"/>
      <c r="D24" s="10"/>
      <c r="E24" s="10"/>
      <c r="F24" s="12"/>
      <c r="G24" s="15" t="str">
        <f t="shared" si="0"/>
        <v>-</v>
      </c>
    </row>
    <row r="25" spans="1:7" ht="22.5" customHeight="1" x14ac:dyDescent="0.3">
      <c r="A25" s="20" t="s">
        <v>145</v>
      </c>
      <c r="B25" s="10"/>
      <c r="C25" s="11"/>
      <c r="D25" s="10"/>
      <c r="E25" s="10"/>
      <c r="F25" s="12"/>
      <c r="G25" s="15" t="str">
        <f t="shared" si="0"/>
        <v>-</v>
      </c>
    </row>
    <row r="26" spans="1:7" ht="22.5" customHeight="1" x14ac:dyDescent="0.3">
      <c r="A26" s="20" t="s">
        <v>146</v>
      </c>
      <c r="B26" s="10"/>
      <c r="C26" s="11"/>
      <c r="D26" s="10"/>
      <c r="E26" s="10"/>
      <c r="F26" s="12"/>
      <c r="G26" s="15" t="str">
        <f t="shared" si="0"/>
        <v>-</v>
      </c>
    </row>
    <row r="27" spans="1:7" ht="22.5" customHeight="1" x14ac:dyDescent="0.3">
      <c r="A27" s="20" t="s">
        <v>147</v>
      </c>
      <c r="B27" s="10"/>
      <c r="C27" s="11"/>
      <c r="D27" s="10"/>
      <c r="E27" s="10"/>
      <c r="F27" s="12"/>
      <c r="G27" s="15" t="str">
        <f t="shared" si="0"/>
        <v>-</v>
      </c>
    </row>
    <row r="28" spans="1:7" ht="22.5" customHeight="1" x14ac:dyDescent="0.3">
      <c r="A28" s="20" t="s">
        <v>148</v>
      </c>
      <c r="B28" s="10"/>
      <c r="C28" s="11"/>
      <c r="D28" s="10"/>
      <c r="E28" s="10"/>
      <c r="F28" s="12"/>
      <c r="G28" s="15" t="str">
        <f t="shared" si="0"/>
        <v>-</v>
      </c>
    </row>
    <row r="29" spans="1:7" ht="22.5" customHeight="1" x14ac:dyDescent="0.3">
      <c r="A29" s="20" t="s">
        <v>149</v>
      </c>
      <c r="B29" s="10"/>
      <c r="C29" s="11"/>
      <c r="D29" s="10"/>
      <c r="E29" s="10"/>
      <c r="F29" s="12"/>
      <c r="G29" s="15" t="str">
        <f t="shared" si="0"/>
        <v>-</v>
      </c>
    </row>
    <row r="30" spans="1:7" ht="22.5" customHeight="1" x14ac:dyDescent="0.3">
      <c r="A30" s="20" t="s">
        <v>150</v>
      </c>
      <c r="B30" s="10"/>
      <c r="C30" s="11"/>
      <c r="D30" s="10"/>
      <c r="E30" s="10"/>
      <c r="F30" s="12"/>
      <c r="G30" s="15" t="str">
        <f t="shared" si="0"/>
        <v>-</v>
      </c>
    </row>
    <row r="31" spans="1:7" ht="22.5" customHeight="1" x14ac:dyDescent="0.3">
      <c r="A31" s="20" t="s">
        <v>151</v>
      </c>
      <c r="B31" s="10"/>
      <c r="C31" s="11"/>
      <c r="D31" s="10"/>
      <c r="E31" s="10"/>
      <c r="F31" s="12"/>
      <c r="G31" s="15" t="str">
        <f t="shared" si="0"/>
        <v>-</v>
      </c>
    </row>
    <row r="32" spans="1:7" ht="22.5" customHeight="1" x14ac:dyDescent="0.3">
      <c r="A32" s="20" t="s">
        <v>152</v>
      </c>
      <c r="B32" s="10"/>
      <c r="C32" s="11"/>
      <c r="D32" s="10"/>
      <c r="E32" s="10"/>
      <c r="F32" s="12"/>
      <c r="G32" s="15" t="str">
        <f t="shared" si="0"/>
        <v>-</v>
      </c>
    </row>
    <row r="33" spans="1:7" ht="22.5" customHeight="1" x14ac:dyDescent="0.3">
      <c r="A33" s="20" t="s">
        <v>153</v>
      </c>
      <c r="B33" s="10"/>
      <c r="C33" s="11"/>
      <c r="D33" s="10"/>
      <c r="E33" s="10"/>
      <c r="F33" s="12"/>
      <c r="G33" s="15" t="str">
        <f t="shared" si="0"/>
        <v>-</v>
      </c>
    </row>
    <row r="34" spans="1:7" ht="22.5" customHeight="1" x14ac:dyDescent="0.3">
      <c r="A34" s="20" t="s">
        <v>154</v>
      </c>
      <c r="B34" s="10"/>
      <c r="C34" s="11"/>
      <c r="D34" s="10"/>
      <c r="E34" s="10"/>
      <c r="F34" s="12"/>
      <c r="G34" s="15" t="str">
        <f t="shared" si="0"/>
        <v>-</v>
      </c>
    </row>
    <row r="35" spans="1:7" ht="22.5" customHeight="1" x14ac:dyDescent="0.3">
      <c r="A35" s="20" t="s">
        <v>155</v>
      </c>
      <c r="B35" s="10"/>
      <c r="C35" s="11"/>
      <c r="D35" s="10"/>
      <c r="E35" s="10"/>
      <c r="F35" s="12"/>
      <c r="G35" s="15" t="str">
        <f t="shared" si="0"/>
        <v>-</v>
      </c>
    </row>
    <row r="36" spans="1:7" ht="22.5" customHeight="1" x14ac:dyDescent="0.3">
      <c r="A36" s="20" t="s">
        <v>156</v>
      </c>
      <c r="B36" s="10"/>
      <c r="C36" s="11"/>
      <c r="D36" s="10"/>
      <c r="E36" s="10"/>
      <c r="F36" s="12"/>
      <c r="G36" s="15" t="str">
        <f t="shared" si="0"/>
        <v>-</v>
      </c>
    </row>
    <row r="37" spans="1:7" ht="22.5" customHeight="1" x14ac:dyDescent="0.3">
      <c r="A37" s="20" t="s">
        <v>157</v>
      </c>
      <c r="B37" s="10"/>
      <c r="C37" s="11"/>
      <c r="D37" s="10"/>
      <c r="E37" s="10"/>
      <c r="F37" s="12"/>
      <c r="G37" s="15" t="str">
        <f t="shared" si="0"/>
        <v>-</v>
      </c>
    </row>
    <row r="38" spans="1:7" ht="22.5" customHeight="1" x14ac:dyDescent="0.3">
      <c r="A38" s="20" t="s">
        <v>158</v>
      </c>
      <c r="B38" s="10"/>
      <c r="C38" s="11"/>
      <c r="D38" s="10"/>
      <c r="E38" s="10"/>
      <c r="F38" s="12"/>
      <c r="G38" s="15" t="str">
        <f t="shared" si="0"/>
        <v>-</v>
      </c>
    </row>
    <row r="39" spans="1:7" ht="22.5" customHeight="1" x14ac:dyDescent="0.3">
      <c r="A39" s="20" t="s">
        <v>159</v>
      </c>
      <c r="B39" s="10"/>
      <c r="C39" s="11"/>
      <c r="D39" s="10"/>
      <c r="E39" s="10"/>
      <c r="F39" s="12"/>
      <c r="G39" s="15" t="str">
        <f t="shared" si="0"/>
        <v>-</v>
      </c>
    </row>
    <row r="40" spans="1:7" ht="22.5" customHeight="1" x14ac:dyDescent="0.3">
      <c r="A40" s="20" t="s">
        <v>160</v>
      </c>
      <c r="B40" s="10"/>
      <c r="C40" s="11"/>
      <c r="D40" s="10"/>
      <c r="E40" s="10"/>
      <c r="F40" s="12"/>
      <c r="G40" s="15" t="str">
        <f t="shared" si="0"/>
        <v>-</v>
      </c>
    </row>
    <row r="41" spans="1:7" ht="22.5" customHeight="1" x14ac:dyDescent="0.3">
      <c r="A41" s="20" t="s">
        <v>161</v>
      </c>
      <c r="B41" s="10"/>
      <c r="C41" s="11"/>
      <c r="D41" s="10"/>
      <c r="E41" s="10"/>
      <c r="F41" s="12"/>
      <c r="G41" s="15" t="str">
        <f t="shared" si="0"/>
        <v>-</v>
      </c>
    </row>
    <row r="42" spans="1:7" ht="22.5" customHeight="1" x14ac:dyDescent="0.3">
      <c r="A42" s="20" t="s">
        <v>162</v>
      </c>
      <c r="B42" s="10"/>
      <c r="C42" s="11"/>
      <c r="D42" s="10"/>
      <c r="E42" s="10"/>
      <c r="F42" s="12"/>
      <c r="G42" s="15" t="str">
        <f t="shared" si="0"/>
        <v>-</v>
      </c>
    </row>
    <row r="43" spans="1:7" ht="22.5" customHeight="1" x14ac:dyDescent="0.3">
      <c r="A43" s="20" t="s">
        <v>163</v>
      </c>
      <c r="B43" s="10"/>
      <c r="C43" s="11"/>
      <c r="D43" s="10"/>
      <c r="E43" s="10"/>
      <c r="F43" s="12"/>
      <c r="G43" s="15" t="str">
        <f t="shared" si="0"/>
        <v>-</v>
      </c>
    </row>
    <row r="44" spans="1:7" ht="22.5" customHeight="1" x14ac:dyDescent="0.3">
      <c r="A44" s="20" t="s">
        <v>164</v>
      </c>
      <c r="B44" s="10"/>
      <c r="C44" s="11"/>
      <c r="D44" s="10"/>
      <c r="E44" s="10"/>
      <c r="F44" s="12"/>
      <c r="G44" s="15" t="str">
        <f t="shared" si="0"/>
        <v>-</v>
      </c>
    </row>
    <row r="45" spans="1:7" ht="22.5" customHeight="1" x14ac:dyDescent="0.3">
      <c r="A45" s="20" t="s">
        <v>165</v>
      </c>
      <c r="B45" s="10"/>
      <c r="C45" s="11"/>
      <c r="D45" s="10"/>
      <c r="E45" s="10"/>
      <c r="F45" s="12"/>
      <c r="G45" s="15" t="str">
        <f t="shared" si="0"/>
        <v>-</v>
      </c>
    </row>
    <row r="46" spans="1:7" ht="22.5" customHeight="1" x14ac:dyDescent="0.3">
      <c r="A46" s="20" t="s">
        <v>166</v>
      </c>
      <c r="B46" s="10"/>
      <c r="C46" s="11"/>
      <c r="D46" s="10"/>
      <c r="E46" s="10"/>
      <c r="F46" s="12"/>
      <c r="G46" s="15" t="str">
        <f t="shared" si="0"/>
        <v>-</v>
      </c>
    </row>
    <row r="47" spans="1:7" ht="22.5" customHeight="1" x14ac:dyDescent="0.3">
      <c r="A47" s="20" t="s">
        <v>167</v>
      </c>
      <c r="B47" s="10"/>
      <c r="C47" s="11"/>
      <c r="D47" s="10"/>
      <c r="E47" s="10"/>
      <c r="F47" s="12"/>
      <c r="G47" s="15" t="str">
        <f t="shared" si="0"/>
        <v>-</v>
      </c>
    </row>
    <row r="48" spans="1:7" ht="22.5" customHeight="1" x14ac:dyDescent="0.3">
      <c r="A48" s="20" t="s">
        <v>168</v>
      </c>
      <c r="B48" s="10"/>
      <c r="C48" s="11"/>
      <c r="D48" s="10"/>
      <c r="E48" s="10"/>
      <c r="F48" s="12"/>
      <c r="G48" s="15" t="str">
        <f t="shared" si="0"/>
        <v>-</v>
      </c>
    </row>
    <row r="49" spans="1:7" ht="22.5" customHeight="1" x14ac:dyDescent="0.3">
      <c r="A49" s="20" t="s">
        <v>169</v>
      </c>
      <c r="B49" s="10"/>
      <c r="C49" s="11"/>
      <c r="D49" s="10"/>
      <c r="E49" s="10"/>
      <c r="F49" s="12"/>
      <c r="G49" s="15" t="str">
        <f t="shared" si="0"/>
        <v>-</v>
      </c>
    </row>
    <row r="50" spans="1:7" ht="22.5" customHeight="1" x14ac:dyDescent="0.3">
      <c r="A50" s="20" t="s">
        <v>170</v>
      </c>
      <c r="B50" s="10"/>
      <c r="C50" s="11"/>
      <c r="D50" s="10"/>
      <c r="E50" s="10"/>
      <c r="F50" s="12"/>
      <c r="G50" s="15" t="str">
        <f t="shared" si="0"/>
        <v>-</v>
      </c>
    </row>
    <row r="51" spans="1:7" ht="22.5" customHeight="1" x14ac:dyDescent="0.3">
      <c r="A51" s="20" t="s">
        <v>171</v>
      </c>
      <c r="B51" s="10"/>
      <c r="C51" s="11"/>
      <c r="D51" s="10"/>
      <c r="E51" s="10"/>
      <c r="F51" s="12"/>
      <c r="G51" s="15" t="str">
        <f t="shared" si="0"/>
        <v>-</v>
      </c>
    </row>
    <row r="52" spans="1:7" ht="22.5" customHeight="1" x14ac:dyDescent="0.3">
      <c r="A52" s="20" t="s">
        <v>172</v>
      </c>
      <c r="B52" s="10"/>
      <c r="C52" s="11"/>
      <c r="D52" s="10"/>
      <c r="E52" s="10"/>
      <c r="F52" s="12"/>
      <c r="G52" s="15" t="str">
        <f t="shared" si="0"/>
        <v>-</v>
      </c>
    </row>
    <row r="53" spans="1:7" ht="22.5" customHeight="1" x14ac:dyDescent="0.3">
      <c r="A53" s="20" t="s">
        <v>173</v>
      </c>
      <c r="B53" s="10"/>
      <c r="C53" s="11"/>
      <c r="D53" s="10"/>
      <c r="E53" s="10"/>
      <c r="F53" s="12"/>
      <c r="G53" s="15" t="str">
        <f t="shared" si="0"/>
        <v>-</v>
      </c>
    </row>
    <row r="54" spans="1:7" ht="22.5" customHeight="1" x14ac:dyDescent="0.3">
      <c r="A54" s="20" t="s">
        <v>174</v>
      </c>
      <c r="B54" s="10"/>
      <c r="C54" s="11"/>
      <c r="D54" s="10"/>
      <c r="E54" s="10"/>
      <c r="F54" s="12"/>
      <c r="G54" s="15" t="str">
        <f t="shared" si="0"/>
        <v>-</v>
      </c>
    </row>
    <row r="55" spans="1:7" ht="22.5" customHeight="1" x14ac:dyDescent="0.3">
      <c r="A55" s="20" t="s">
        <v>175</v>
      </c>
      <c r="B55" s="10"/>
      <c r="C55" s="11"/>
      <c r="D55" s="10"/>
      <c r="E55" s="10"/>
      <c r="F55" s="12"/>
      <c r="G55" s="15" t="str">
        <f t="shared" si="0"/>
        <v>-</v>
      </c>
    </row>
    <row r="56" spans="1:7" ht="22.5" customHeight="1" x14ac:dyDescent="0.3">
      <c r="A56" s="20" t="s">
        <v>176</v>
      </c>
      <c r="B56" s="10"/>
      <c r="C56" s="11"/>
      <c r="D56" s="10"/>
      <c r="E56" s="10"/>
      <c r="F56" s="12"/>
      <c r="G56" s="15" t="str">
        <f t="shared" si="0"/>
        <v>-</v>
      </c>
    </row>
    <row r="57" spans="1:7" ht="22.5" customHeight="1" x14ac:dyDescent="0.3">
      <c r="A57" s="20" t="s">
        <v>177</v>
      </c>
      <c r="B57" s="10"/>
      <c r="C57" s="11"/>
      <c r="D57" s="10"/>
      <c r="E57" s="10"/>
      <c r="F57" s="12"/>
      <c r="G57" s="15" t="str">
        <f t="shared" si="0"/>
        <v>-</v>
      </c>
    </row>
    <row r="58" spans="1:7" ht="22.5" customHeight="1" x14ac:dyDescent="0.3">
      <c r="A58" s="20" t="s">
        <v>178</v>
      </c>
      <c r="B58" s="10"/>
      <c r="C58" s="11"/>
      <c r="D58" s="10"/>
      <c r="E58" s="10"/>
      <c r="F58" s="12"/>
      <c r="G58" s="15" t="str">
        <f t="shared" si="0"/>
        <v>-</v>
      </c>
    </row>
    <row r="59" spans="1:7" ht="22.5" customHeight="1" x14ac:dyDescent="0.3">
      <c r="A59" s="20" t="s">
        <v>179</v>
      </c>
      <c r="B59" s="10"/>
      <c r="C59" s="11"/>
      <c r="D59" s="10"/>
      <c r="E59" s="10"/>
      <c r="F59" s="12"/>
      <c r="G59" s="15" t="str">
        <f t="shared" si="0"/>
        <v>-</v>
      </c>
    </row>
    <row r="60" spans="1:7" ht="22.5" customHeight="1" x14ac:dyDescent="0.3">
      <c r="A60" s="20" t="s">
        <v>180</v>
      </c>
      <c r="B60" s="10"/>
      <c r="C60" s="11"/>
      <c r="D60" s="10"/>
      <c r="E60" s="10"/>
      <c r="F60" s="12"/>
      <c r="G60" s="15" t="str">
        <f t="shared" si="0"/>
        <v>-</v>
      </c>
    </row>
    <row r="61" spans="1:7" ht="22.5" customHeight="1" x14ac:dyDescent="0.3">
      <c r="A61" s="20" t="s">
        <v>181</v>
      </c>
      <c r="B61" s="10"/>
      <c r="C61" s="11"/>
      <c r="D61" s="10"/>
      <c r="E61" s="10"/>
      <c r="F61" s="12"/>
      <c r="G61" s="15" t="str">
        <f t="shared" si="0"/>
        <v>-</v>
      </c>
    </row>
    <row r="62" spans="1:7" ht="22.5" customHeight="1" x14ac:dyDescent="0.3">
      <c r="A62" s="20" t="s">
        <v>182</v>
      </c>
      <c r="B62" s="10"/>
      <c r="C62" s="11"/>
      <c r="D62" s="10"/>
      <c r="E62" s="10"/>
      <c r="F62" s="12"/>
      <c r="G62" s="15" t="str">
        <f t="shared" si="0"/>
        <v>-</v>
      </c>
    </row>
    <row r="63" spans="1:7" ht="22.5" customHeight="1" x14ac:dyDescent="0.3">
      <c r="A63" s="20" t="s">
        <v>183</v>
      </c>
      <c r="B63" s="10"/>
      <c r="C63" s="11"/>
      <c r="D63" s="10"/>
      <c r="E63" s="10"/>
      <c r="F63" s="12"/>
      <c r="G63" s="15" t="str">
        <f t="shared" si="0"/>
        <v>-</v>
      </c>
    </row>
    <row r="64" spans="1:7" ht="22.5" customHeight="1" x14ac:dyDescent="0.3">
      <c r="A64" s="20" t="s">
        <v>184</v>
      </c>
      <c r="B64" s="10"/>
      <c r="C64" s="11"/>
      <c r="D64" s="10"/>
      <c r="E64" s="10"/>
      <c r="F64" s="12"/>
      <c r="G64" s="15" t="str">
        <f t="shared" si="0"/>
        <v>-</v>
      </c>
    </row>
    <row r="65" spans="1:7" ht="22.5" customHeight="1" x14ac:dyDescent="0.3">
      <c r="A65" s="20" t="s">
        <v>185</v>
      </c>
      <c r="B65" s="10"/>
      <c r="C65" s="11"/>
      <c r="D65" s="10"/>
      <c r="E65" s="10"/>
      <c r="F65" s="12"/>
      <c r="G65" s="15" t="str">
        <f t="shared" si="0"/>
        <v>-</v>
      </c>
    </row>
    <row r="66" spans="1:7" ht="22.5" customHeight="1" x14ac:dyDescent="0.3">
      <c r="A66" s="20" t="s">
        <v>186</v>
      </c>
      <c r="B66" s="10"/>
      <c r="C66" s="11"/>
      <c r="D66" s="10"/>
      <c r="E66" s="10"/>
      <c r="F66" s="12"/>
      <c r="G66" s="15" t="str">
        <f t="shared" ref="G66:G129" si="1">IFERROR(F66/D66, "-")</f>
        <v>-</v>
      </c>
    </row>
    <row r="67" spans="1:7" ht="22.5" customHeight="1" x14ac:dyDescent="0.3">
      <c r="A67" s="20" t="s">
        <v>187</v>
      </c>
      <c r="B67" s="10"/>
      <c r="C67" s="11"/>
      <c r="D67" s="10"/>
      <c r="E67" s="10"/>
      <c r="F67" s="12"/>
      <c r="G67" s="15" t="str">
        <f t="shared" si="1"/>
        <v>-</v>
      </c>
    </row>
    <row r="68" spans="1:7" ht="22.5" customHeight="1" x14ac:dyDescent="0.3">
      <c r="A68" s="20" t="s">
        <v>188</v>
      </c>
      <c r="B68" s="10"/>
      <c r="C68" s="11"/>
      <c r="D68" s="10"/>
      <c r="E68" s="10"/>
      <c r="F68" s="12"/>
      <c r="G68" s="15" t="str">
        <f t="shared" si="1"/>
        <v>-</v>
      </c>
    </row>
    <row r="69" spans="1:7" ht="22.5" customHeight="1" x14ac:dyDescent="0.3">
      <c r="A69" s="20" t="s">
        <v>189</v>
      </c>
      <c r="B69" s="10"/>
      <c r="C69" s="11"/>
      <c r="D69" s="10"/>
      <c r="E69" s="10"/>
      <c r="F69" s="12"/>
      <c r="G69" s="15" t="str">
        <f t="shared" si="1"/>
        <v>-</v>
      </c>
    </row>
    <row r="70" spans="1:7" ht="22.5" customHeight="1" x14ac:dyDescent="0.3">
      <c r="A70" s="20" t="s">
        <v>190</v>
      </c>
      <c r="B70" s="10"/>
      <c r="C70" s="11"/>
      <c r="D70" s="10"/>
      <c r="E70" s="10"/>
      <c r="F70" s="12"/>
      <c r="G70" s="15" t="str">
        <f t="shared" si="1"/>
        <v>-</v>
      </c>
    </row>
    <row r="71" spans="1:7" ht="22.5" customHeight="1" x14ac:dyDescent="0.3">
      <c r="A71" s="20" t="s">
        <v>191</v>
      </c>
      <c r="B71" s="10"/>
      <c r="C71" s="11"/>
      <c r="D71" s="10"/>
      <c r="E71" s="10"/>
      <c r="F71" s="12"/>
      <c r="G71" s="15" t="str">
        <f t="shared" si="1"/>
        <v>-</v>
      </c>
    </row>
    <row r="72" spans="1:7" ht="22.5" customHeight="1" x14ac:dyDescent="0.3">
      <c r="A72" s="20" t="s">
        <v>192</v>
      </c>
      <c r="B72" s="10"/>
      <c r="C72" s="11"/>
      <c r="D72" s="10"/>
      <c r="E72" s="10"/>
      <c r="F72" s="12"/>
      <c r="G72" s="15" t="str">
        <f t="shared" si="1"/>
        <v>-</v>
      </c>
    </row>
    <row r="73" spans="1:7" ht="22.5" customHeight="1" x14ac:dyDescent="0.3">
      <c r="A73" s="20" t="s">
        <v>193</v>
      </c>
      <c r="B73" s="10"/>
      <c r="C73" s="11"/>
      <c r="D73" s="10"/>
      <c r="E73" s="10"/>
      <c r="F73" s="12"/>
      <c r="G73" s="15" t="str">
        <f t="shared" si="1"/>
        <v>-</v>
      </c>
    </row>
    <row r="74" spans="1:7" ht="22.5" customHeight="1" x14ac:dyDescent="0.3">
      <c r="A74" s="20" t="s">
        <v>194</v>
      </c>
      <c r="B74" s="10"/>
      <c r="C74" s="11"/>
      <c r="D74" s="10"/>
      <c r="E74" s="10"/>
      <c r="F74" s="12"/>
      <c r="G74" s="15" t="str">
        <f t="shared" si="1"/>
        <v>-</v>
      </c>
    </row>
    <row r="75" spans="1:7" ht="22.5" customHeight="1" x14ac:dyDescent="0.3">
      <c r="A75" s="20" t="s">
        <v>195</v>
      </c>
      <c r="B75" s="10"/>
      <c r="C75" s="11"/>
      <c r="D75" s="10"/>
      <c r="E75" s="10"/>
      <c r="F75" s="12"/>
      <c r="G75" s="15" t="str">
        <f t="shared" si="1"/>
        <v>-</v>
      </c>
    </row>
    <row r="76" spans="1:7" ht="22.5" customHeight="1" x14ac:dyDescent="0.3">
      <c r="A76" s="20" t="s">
        <v>196</v>
      </c>
      <c r="B76" s="10"/>
      <c r="C76" s="11"/>
      <c r="D76" s="10"/>
      <c r="E76" s="10"/>
      <c r="F76" s="12"/>
      <c r="G76" s="15" t="str">
        <f t="shared" si="1"/>
        <v>-</v>
      </c>
    </row>
    <row r="77" spans="1:7" ht="22.5" customHeight="1" x14ac:dyDescent="0.3">
      <c r="A77" s="20" t="s">
        <v>197</v>
      </c>
      <c r="B77" s="10"/>
      <c r="C77" s="11"/>
      <c r="D77" s="10"/>
      <c r="E77" s="10"/>
      <c r="F77" s="12"/>
      <c r="G77" s="15" t="str">
        <f t="shared" si="1"/>
        <v>-</v>
      </c>
    </row>
    <row r="78" spans="1:7" ht="22.5" customHeight="1" x14ac:dyDescent="0.3">
      <c r="A78" s="20" t="s">
        <v>198</v>
      </c>
      <c r="B78" s="10"/>
      <c r="C78" s="11"/>
      <c r="D78" s="10"/>
      <c r="E78" s="10"/>
      <c r="F78" s="12"/>
      <c r="G78" s="15" t="str">
        <f t="shared" si="1"/>
        <v>-</v>
      </c>
    </row>
    <row r="79" spans="1:7" ht="22.5" customHeight="1" x14ac:dyDescent="0.3">
      <c r="A79" s="20" t="s">
        <v>199</v>
      </c>
      <c r="B79" s="10"/>
      <c r="C79" s="11"/>
      <c r="D79" s="10"/>
      <c r="E79" s="10"/>
      <c r="F79" s="12"/>
      <c r="G79" s="15" t="str">
        <f t="shared" si="1"/>
        <v>-</v>
      </c>
    </row>
    <row r="80" spans="1:7" ht="22.5" customHeight="1" x14ac:dyDescent="0.3">
      <c r="A80" s="20" t="s">
        <v>200</v>
      </c>
      <c r="B80" s="10"/>
      <c r="C80" s="11"/>
      <c r="D80" s="10"/>
      <c r="E80" s="10"/>
      <c r="F80" s="12"/>
      <c r="G80" s="15" t="str">
        <f t="shared" si="1"/>
        <v>-</v>
      </c>
    </row>
    <row r="81" spans="1:7" ht="22.5" customHeight="1" x14ac:dyDescent="0.3">
      <c r="A81" s="20" t="s">
        <v>201</v>
      </c>
      <c r="B81" s="10"/>
      <c r="C81" s="11"/>
      <c r="D81" s="10"/>
      <c r="E81" s="10"/>
      <c r="F81" s="12"/>
      <c r="G81" s="15" t="str">
        <f t="shared" si="1"/>
        <v>-</v>
      </c>
    </row>
    <row r="82" spans="1:7" ht="22.5" customHeight="1" x14ac:dyDescent="0.3">
      <c r="A82" s="20" t="s">
        <v>202</v>
      </c>
      <c r="B82" s="10"/>
      <c r="C82" s="11"/>
      <c r="D82" s="10"/>
      <c r="E82" s="10"/>
      <c r="F82" s="12"/>
      <c r="G82" s="15" t="str">
        <f t="shared" si="1"/>
        <v>-</v>
      </c>
    </row>
    <row r="83" spans="1:7" ht="22.5" customHeight="1" x14ac:dyDescent="0.3">
      <c r="A83" s="20" t="s">
        <v>203</v>
      </c>
      <c r="B83" s="10"/>
      <c r="C83" s="11"/>
      <c r="D83" s="10"/>
      <c r="E83" s="10"/>
      <c r="F83" s="12"/>
      <c r="G83" s="15" t="str">
        <f t="shared" si="1"/>
        <v>-</v>
      </c>
    </row>
    <row r="84" spans="1:7" ht="22.5" customHeight="1" x14ac:dyDescent="0.3">
      <c r="A84" s="20" t="s">
        <v>204</v>
      </c>
      <c r="B84" s="10"/>
      <c r="C84" s="11"/>
      <c r="D84" s="10"/>
      <c r="E84" s="10"/>
      <c r="F84" s="12"/>
      <c r="G84" s="15" t="str">
        <f t="shared" si="1"/>
        <v>-</v>
      </c>
    </row>
    <row r="85" spans="1:7" ht="22.5" customHeight="1" x14ac:dyDescent="0.3">
      <c r="A85" s="20" t="s">
        <v>205</v>
      </c>
      <c r="B85" s="10"/>
      <c r="C85" s="11"/>
      <c r="D85" s="10"/>
      <c r="E85" s="10"/>
      <c r="F85" s="12"/>
      <c r="G85" s="15" t="str">
        <f t="shared" si="1"/>
        <v>-</v>
      </c>
    </row>
    <row r="86" spans="1:7" ht="22.5" customHeight="1" x14ac:dyDescent="0.3">
      <c r="A86" s="20" t="s">
        <v>206</v>
      </c>
      <c r="B86" s="10"/>
      <c r="C86" s="11"/>
      <c r="D86" s="10"/>
      <c r="E86" s="10"/>
      <c r="F86" s="12"/>
      <c r="G86" s="15" t="str">
        <f t="shared" si="1"/>
        <v>-</v>
      </c>
    </row>
    <row r="87" spans="1:7" ht="22.5" customHeight="1" x14ac:dyDescent="0.3">
      <c r="A87" s="20" t="s">
        <v>207</v>
      </c>
      <c r="B87" s="10"/>
      <c r="C87" s="11"/>
      <c r="D87" s="10"/>
      <c r="E87" s="10"/>
      <c r="F87" s="12"/>
      <c r="G87" s="15" t="str">
        <f t="shared" si="1"/>
        <v>-</v>
      </c>
    </row>
    <row r="88" spans="1:7" ht="22.5" customHeight="1" x14ac:dyDescent="0.3">
      <c r="A88" s="20" t="s">
        <v>208</v>
      </c>
      <c r="B88" s="10"/>
      <c r="C88" s="11"/>
      <c r="D88" s="10"/>
      <c r="E88" s="10"/>
      <c r="F88" s="12"/>
      <c r="G88" s="15" t="str">
        <f t="shared" si="1"/>
        <v>-</v>
      </c>
    </row>
    <row r="89" spans="1:7" ht="22.5" customHeight="1" x14ac:dyDescent="0.3">
      <c r="A89" s="20" t="s">
        <v>209</v>
      </c>
      <c r="B89" s="10"/>
      <c r="C89" s="11"/>
      <c r="D89" s="10"/>
      <c r="E89" s="10"/>
      <c r="F89" s="12"/>
      <c r="G89" s="15" t="str">
        <f t="shared" si="1"/>
        <v>-</v>
      </c>
    </row>
    <row r="90" spans="1:7" ht="22.5" customHeight="1" x14ac:dyDescent="0.3">
      <c r="A90" s="20" t="s">
        <v>210</v>
      </c>
      <c r="B90" s="10"/>
      <c r="C90" s="11"/>
      <c r="D90" s="10"/>
      <c r="E90" s="10"/>
      <c r="F90" s="12"/>
      <c r="G90" s="15" t="str">
        <f t="shared" si="1"/>
        <v>-</v>
      </c>
    </row>
    <row r="91" spans="1:7" ht="22.5" customHeight="1" x14ac:dyDescent="0.3">
      <c r="A91" s="20" t="s">
        <v>211</v>
      </c>
      <c r="B91" s="10"/>
      <c r="C91" s="11"/>
      <c r="D91" s="10"/>
      <c r="E91" s="10"/>
      <c r="F91" s="12"/>
      <c r="G91" s="15" t="str">
        <f t="shared" si="1"/>
        <v>-</v>
      </c>
    </row>
    <row r="92" spans="1:7" ht="22.5" customHeight="1" x14ac:dyDescent="0.3">
      <c r="A92" s="20" t="s">
        <v>212</v>
      </c>
      <c r="B92" s="10"/>
      <c r="C92" s="11"/>
      <c r="D92" s="10"/>
      <c r="E92" s="10"/>
      <c r="F92" s="12"/>
      <c r="G92" s="15" t="str">
        <f t="shared" si="1"/>
        <v>-</v>
      </c>
    </row>
    <row r="93" spans="1:7" ht="22.5" customHeight="1" x14ac:dyDescent="0.3">
      <c r="A93" s="20" t="s">
        <v>213</v>
      </c>
      <c r="B93" s="10"/>
      <c r="C93" s="11"/>
      <c r="D93" s="10"/>
      <c r="E93" s="10"/>
      <c r="F93" s="12"/>
      <c r="G93" s="15" t="str">
        <f t="shared" si="1"/>
        <v>-</v>
      </c>
    </row>
    <row r="94" spans="1:7" ht="22.5" customHeight="1" x14ac:dyDescent="0.3">
      <c r="A94" s="20" t="s">
        <v>214</v>
      </c>
      <c r="B94" s="10"/>
      <c r="C94" s="11"/>
      <c r="D94" s="10"/>
      <c r="E94" s="10"/>
      <c r="F94" s="12"/>
      <c r="G94" s="15" t="str">
        <f t="shared" si="1"/>
        <v>-</v>
      </c>
    </row>
    <row r="95" spans="1:7" ht="22.5" customHeight="1" x14ac:dyDescent="0.3">
      <c r="A95" s="20" t="s">
        <v>215</v>
      </c>
      <c r="B95" s="10"/>
      <c r="C95" s="11"/>
      <c r="D95" s="10"/>
      <c r="E95" s="10"/>
      <c r="F95" s="12"/>
      <c r="G95" s="15" t="str">
        <f t="shared" si="1"/>
        <v>-</v>
      </c>
    </row>
    <row r="96" spans="1:7" ht="22.5" customHeight="1" x14ac:dyDescent="0.3">
      <c r="A96" s="20" t="s">
        <v>216</v>
      </c>
      <c r="B96" s="10"/>
      <c r="C96" s="11"/>
      <c r="D96" s="10"/>
      <c r="E96" s="10"/>
      <c r="F96" s="12"/>
      <c r="G96" s="15" t="str">
        <f t="shared" si="1"/>
        <v>-</v>
      </c>
    </row>
    <row r="97" spans="1:7" ht="22.5" customHeight="1" x14ac:dyDescent="0.3">
      <c r="A97" s="20" t="s">
        <v>217</v>
      </c>
      <c r="B97" s="10"/>
      <c r="C97" s="11"/>
      <c r="D97" s="10"/>
      <c r="E97" s="10"/>
      <c r="F97" s="12"/>
      <c r="G97" s="15" t="str">
        <f t="shared" si="1"/>
        <v>-</v>
      </c>
    </row>
    <row r="98" spans="1:7" ht="22.5" customHeight="1" x14ac:dyDescent="0.3">
      <c r="A98" s="20" t="s">
        <v>218</v>
      </c>
      <c r="B98" s="10"/>
      <c r="C98" s="11"/>
      <c r="D98" s="10"/>
      <c r="E98" s="10"/>
      <c r="F98" s="12"/>
      <c r="G98" s="15" t="str">
        <f t="shared" si="1"/>
        <v>-</v>
      </c>
    </row>
    <row r="99" spans="1:7" ht="22.5" customHeight="1" x14ac:dyDescent="0.3">
      <c r="A99" s="20" t="s">
        <v>219</v>
      </c>
      <c r="B99" s="10"/>
      <c r="C99" s="11"/>
      <c r="D99" s="10"/>
      <c r="E99" s="10"/>
      <c r="F99" s="12"/>
      <c r="G99" s="15" t="str">
        <f t="shared" si="1"/>
        <v>-</v>
      </c>
    </row>
    <row r="100" spans="1:7" ht="22.5" customHeight="1" x14ac:dyDescent="0.3">
      <c r="A100" s="20" t="s">
        <v>220</v>
      </c>
      <c r="B100" s="10"/>
      <c r="C100" s="11"/>
      <c r="D100" s="10"/>
      <c r="E100" s="10"/>
      <c r="F100" s="12"/>
      <c r="G100" s="15" t="str">
        <f t="shared" si="1"/>
        <v>-</v>
      </c>
    </row>
    <row r="101" spans="1:7" ht="22.5" customHeight="1" x14ac:dyDescent="0.3">
      <c r="A101" s="20" t="s">
        <v>221</v>
      </c>
      <c r="B101" s="10"/>
      <c r="C101" s="11"/>
      <c r="D101" s="10"/>
      <c r="E101" s="10"/>
      <c r="F101" s="12"/>
      <c r="G101" s="15" t="str">
        <f t="shared" si="1"/>
        <v>-</v>
      </c>
    </row>
    <row r="102" spans="1:7" ht="22.5" customHeight="1" x14ac:dyDescent="0.3">
      <c r="A102" s="20" t="s">
        <v>222</v>
      </c>
      <c r="B102" s="10"/>
      <c r="C102" s="11"/>
      <c r="D102" s="10"/>
      <c r="E102" s="10"/>
      <c r="F102" s="12"/>
      <c r="G102" s="15" t="str">
        <f t="shared" si="1"/>
        <v>-</v>
      </c>
    </row>
    <row r="103" spans="1:7" ht="22.5" customHeight="1" x14ac:dyDescent="0.3">
      <c r="A103" s="20" t="s">
        <v>223</v>
      </c>
      <c r="B103" s="10"/>
      <c r="C103" s="11"/>
      <c r="D103" s="10"/>
      <c r="E103" s="10"/>
      <c r="F103" s="12"/>
      <c r="G103" s="15" t="str">
        <f t="shared" si="1"/>
        <v>-</v>
      </c>
    </row>
    <row r="104" spans="1:7" ht="22.5" customHeight="1" x14ac:dyDescent="0.3">
      <c r="A104" s="20" t="s">
        <v>224</v>
      </c>
      <c r="B104" s="10"/>
      <c r="C104" s="11"/>
      <c r="D104" s="10"/>
      <c r="E104" s="10"/>
      <c r="F104" s="12"/>
      <c r="G104" s="15" t="str">
        <f t="shared" si="1"/>
        <v>-</v>
      </c>
    </row>
    <row r="105" spans="1:7" ht="22.5" customHeight="1" x14ac:dyDescent="0.3">
      <c r="A105" s="20" t="s">
        <v>225</v>
      </c>
      <c r="B105" s="10"/>
      <c r="C105" s="11"/>
      <c r="D105" s="10"/>
      <c r="E105" s="10"/>
      <c r="F105" s="12"/>
      <c r="G105" s="15" t="str">
        <f t="shared" si="1"/>
        <v>-</v>
      </c>
    </row>
    <row r="106" spans="1:7" ht="22.5" customHeight="1" x14ac:dyDescent="0.3">
      <c r="A106" s="20" t="s">
        <v>226</v>
      </c>
      <c r="B106" s="10"/>
      <c r="C106" s="11"/>
      <c r="D106" s="10"/>
      <c r="E106" s="10"/>
      <c r="F106" s="12"/>
      <c r="G106" s="15" t="str">
        <f t="shared" si="1"/>
        <v>-</v>
      </c>
    </row>
    <row r="107" spans="1:7" ht="22.5" customHeight="1" x14ac:dyDescent="0.3">
      <c r="A107" s="20" t="s">
        <v>227</v>
      </c>
      <c r="B107" s="10"/>
      <c r="C107" s="11"/>
      <c r="D107" s="10"/>
      <c r="E107" s="10"/>
      <c r="F107" s="12"/>
      <c r="G107" s="15" t="str">
        <f t="shared" si="1"/>
        <v>-</v>
      </c>
    </row>
    <row r="108" spans="1:7" ht="22.5" customHeight="1" x14ac:dyDescent="0.3">
      <c r="A108" s="20" t="s">
        <v>228</v>
      </c>
      <c r="B108" s="10"/>
      <c r="C108" s="11"/>
      <c r="D108" s="10"/>
      <c r="E108" s="10"/>
      <c r="F108" s="12"/>
      <c r="G108" s="15" t="str">
        <f t="shared" si="1"/>
        <v>-</v>
      </c>
    </row>
    <row r="109" spans="1:7" ht="22.5" customHeight="1" x14ac:dyDescent="0.3">
      <c r="A109" s="20" t="s">
        <v>229</v>
      </c>
      <c r="B109" s="10"/>
      <c r="C109" s="11"/>
      <c r="D109" s="10"/>
      <c r="E109" s="10"/>
      <c r="F109" s="12"/>
      <c r="G109" s="15" t="str">
        <f t="shared" si="1"/>
        <v>-</v>
      </c>
    </row>
    <row r="110" spans="1:7" ht="22.5" customHeight="1" x14ac:dyDescent="0.3">
      <c r="A110" s="20" t="s">
        <v>230</v>
      </c>
      <c r="B110" s="10"/>
      <c r="C110" s="11"/>
      <c r="D110" s="10"/>
      <c r="E110" s="10"/>
      <c r="F110" s="12"/>
      <c r="G110" s="15" t="str">
        <f t="shared" si="1"/>
        <v>-</v>
      </c>
    </row>
    <row r="111" spans="1:7" ht="22.5" customHeight="1" x14ac:dyDescent="0.3">
      <c r="A111" s="20" t="s">
        <v>231</v>
      </c>
      <c r="B111" s="10"/>
      <c r="C111" s="11"/>
      <c r="D111" s="10"/>
      <c r="E111" s="10"/>
      <c r="F111" s="12"/>
      <c r="G111" s="15" t="str">
        <f t="shared" si="1"/>
        <v>-</v>
      </c>
    </row>
    <row r="112" spans="1:7" ht="22.5" customHeight="1" x14ac:dyDescent="0.3">
      <c r="A112" s="20" t="s">
        <v>232</v>
      </c>
      <c r="B112" s="10"/>
      <c r="C112" s="11"/>
      <c r="D112" s="10"/>
      <c r="E112" s="10"/>
      <c r="F112" s="12"/>
      <c r="G112" s="15" t="str">
        <f t="shared" si="1"/>
        <v>-</v>
      </c>
    </row>
    <row r="113" spans="1:7" ht="22.5" customHeight="1" x14ac:dyDescent="0.3">
      <c r="A113" s="20" t="s">
        <v>233</v>
      </c>
      <c r="B113" s="10"/>
      <c r="C113" s="11"/>
      <c r="D113" s="10"/>
      <c r="E113" s="10"/>
      <c r="F113" s="12"/>
      <c r="G113" s="15" t="str">
        <f t="shared" si="1"/>
        <v>-</v>
      </c>
    </row>
    <row r="114" spans="1:7" ht="22.5" customHeight="1" x14ac:dyDescent="0.3">
      <c r="A114" s="20" t="s">
        <v>234</v>
      </c>
      <c r="B114" s="10"/>
      <c r="C114" s="11"/>
      <c r="D114" s="10"/>
      <c r="E114" s="10"/>
      <c r="F114" s="12"/>
      <c r="G114" s="15" t="str">
        <f t="shared" si="1"/>
        <v>-</v>
      </c>
    </row>
    <row r="115" spans="1:7" ht="22.5" customHeight="1" x14ac:dyDescent="0.3">
      <c r="A115" s="20" t="s">
        <v>235</v>
      </c>
      <c r="B115" s="10"/>
      <c r="C115" s="11"/>
      <c r="D115" s="10"/>
      <c r="E115" s="10"/>
      <c r="F115" s="12"/>
      <c r="G115" s="15" t="str">
        <f t="shared" si="1"/>
        <v>-</v>
      </c>
    </row>
    <row r="116" spans="1:7" ht="22.5" customHeight="1" x14ac:dyDescent="0.3">
      <c r="A116" s="20" t="s">
        <v>236</v>
      </c>
      <c r="B116" s="10"/>
      <c r="C116" s="11"/>
      <c r="D116" s="10"/>
      <c r="E116" s="10"/>
      <c r="F116" s="12"/>
      <c r="G116" s="15" t="str">
        <f t="shared" si="1"/>
        <v>-</v>
      </c>
    </row>
    <row r="117" spans="1:7" ht="22.5" customHeight="1" x14ac:dyDescent="0.3">
      <c r="A117" s="20" t="s">
        <v>237</v>
      </c>
      <c r="B117" s="10"/>
      <c r="C117" s="11"/>
      <c r="D117" s="10"/>
      <c r="E117" s="10"/>
      <c r="F117" s="12"/>
      <c r="G117" s="15" t="str">
        <f t="shared" si="1"/>
        <v>-</v>
      </c>
    </row>
    <row r="118" spans="1:7" ht="22.5" customHeight="1" x14ac:dyDescent="0.3">
      <c r="A118" s="20" t="s">
        <v>238</v>
      </c>
      <c r="B118" s="10"/>
      <c r="C118" s="11"/>
      <c r="D118" s="10"/>
      <c r="E118" s="10"/>
      <c r="F118" s="12"/>
      <c r="G118" s="15" t="str">
        <f t="shared" si="1"/>
        <v>-</v>
      </c>
    </row>
    <row r="119" spans="1:7" ht="22.5" customHeight="1" x14ac:dyDescent="0.3">
      <c r="A119" s="20" t="s">
        <v>239</v>
      </c>
      <c r="B119" s="10"/>
      <c r="C119" s="11"/>
      <c r="D119" s="10"/>
      <c r="E119" s="10"/>
      <c r="F119" s="12"/>
      <c r="G119" s="15" t="str">
        <f t="shared" si="1"/>
        <v>-</v>
      </c>
    </row>
    <row r="120" spans="1:7" ht="22.5" customHeight="1" x14ac:dyDescent="0.3">
      <c r="A120" s="20" t="s">
        <v>240</v>
      </c>
      <c r="B120" s="10"/>
      <c r="C120" s="11"/>
      <c r="D120" s="10"/>
      <c r="E120" s="10"/>
      <c r="F120" s="12"/>
      <c r="G120" s="15" t="str">
        <f t="shared" si="1"/>
        <v>-</v>
      </c>
    </row>
    <row r="121" spans="1:7" ht="22.5" customHeight="1" x14ac:dyDescent="0.3">
      <c r="A121" s="20" t="s">
        <v>241</v>
      </c>
      <c r="B121" s="10"/>
      <c r="C121" s="11"/>
      <c r="D121" s="10"/>
      <c r="E121" s="10"/>
      <c r="F121" s="12"/>
      <c r="G121" s="15" t="str">
        <f t="shared" si="1"/>
        <v>-</v>
      </c>
    </row>
    <row r="122" spans="1:7" ht="22.5" customHeight="1" x14ac:dyDescent="0.3">
      <c r="A122" s="20" t="s">
        <v>242</v>
      </c>
      <c r="B122" s="10"/>
      <c r="C122" s="11"/>
      <c r="D122" s="10"/>
      <c r="E122" s="10"/>
      <c r="F122" s="12"/>
      <c r="G122" s="15" t="str">
        <f t="shared" si="1"/>
        <v>-</v>
      </c>
    </row>
    <row r="123" spans="1:7" ht="22.5" customHeight="1" x14ac:dyDescent="0.3">
      <c r="A123" s="20" t="s">
        <v>243</v>
      </c>
      <c r="B123" s="10"/>
      <c r="C123" s="11"/>
      <c r="D123" s="10"/>
      <c r="E123" s="10"/>
      <c r="F123" s="12"/>
      <c r="G123" s="15" t="str">
        <f t="shared" si="1"/>
        <v>-</v>
      </c>
    </row>
    <row r="124" spans="1:7" ht="22.5" customHeight="1" x14ac:dyDescent="0.3">
      <c r="A124" s="20" t="s">
        <v>244</v>
      </c>
      <c r="B124" s="10"/>
      <c r="C124" s="11"/>
      <c r="D124" s="10"/>
      <c r="E124" s="10"/>
      <c r="F124" s="12"/>
      <c r="G124" s="15" t="str">
        <f t="shared" si="1"/>
        <v>-</v>
      </c>
    </row>
    <row r="125" spans="1:7" ht="22.5" customHeight="1" x14ac:dyDescent="0.3">
      <c r="A125" s="20" t="s">
        <v>245</v>
      </c>
      <c r="B125" s="10"/>
      <c r="C125" s="11"/>
      <c r="D125" s="10"/>
      <c r="E125" s="10"/>
      <c r="F125" s="12"/>
      <c r="G125" s="15" t="str">
        <f t="shared" si="1"/>
        <v>-</v>
      </c>
    </row>
    <row r="126" spans="1:7" ht="22.5" customHeight="1" x14ac:dyDescent="0.3">
      <c r="A126" s="20" t="s">
        <v>246</v>
      </c>
      <c r="B126" s="10"/>
      <c r="C126" s="11"/>
      <c r="D126" s="10"/>
      <c r="E126" s="10"/>
      <c r="F126" s="12"/>
      <c r="G126" s="15" t="str">
        <f t="shared" si="1"/>
        <v>-</v>
      </c>
    </row>
    <row r="127" spans="1:7" ht="22.5" customHeight="1" x14ac:dyDescent="0.3">
      <c r="A127" s="20" t="s">
        <v>247</v>
      </c>
      <c r="B127" s="10"/>
      <c r="C127" s="11"/>
      <c r="D127" s="10"/>
      <c r="E127" s="10"/>
      <c r="F127" s="12"/>
      <c r="G127" s="15" t="str">
        <f t="shared" si="1"/>
        <v>-</v>
      </c>
    </row>
    <row r="128" spans="1:7" ht="22.5" customHeight="1" x14ac:dyDescent="0.3">
      <c r="A128" s="20" t="s">
        <v>248</v>
      </c>
      <c r="B128" s="10"/>
      <c r="C128" s="11"/>
      <c r="D128" s="10"/>
      <c r="E128" s="10"/>
      <c r="F128" s="12"/>
      <c r="G128" s="15" t="str">
        <f t="shared" si="1"/>
        <v>-</v>
      </c>
    </row>
    <row r="129" spans="1:7" ht="22.5" customHeight="1" x14ac:dyDescent="0.3">
      <c r="A129" s="20" t="s">
        <v>249</v>
      </c>
      <c r="B129" s="10"/>
      <c r="C129" s="11"/>
      <c r="D129" s="10"/>
      <c r="E129" s="10"/>
      <c r="F129" s="12"/>
      <c r="G129" s="15" t="str">
        <f t="shared" si="1"/>
        <v>-</v>
      </c>
    </row>
    <row r="130" spans="1:7" ht="22.5" customHeight="1" x14ac:dyDescent="0.3">
      <c r="A130" s="20" t="s">
        <v>250</v>
      </c>
      <c r="B130" s="10"/>
      <c r="C130" s="11"/>
      <c r="D130" s="10"/>
      <c r="E130" s="10"/>
      <c r="F130" s="12"/>
      <c r="G130" s="15" t="str">
        <f t="shared" ref="G130:G193" si="2">IFERROR(F130/D130, "-")</f>
        <v>-</v>
      </c>
    </row>
    <row r="131" spans="1:7" ht="22.5" customHeight="1" x14ac:dyDescent="0.3">
      <c r="A131" s="20" t="s">
        <v>251</v>
      </c>
      <c r="B131" s="10"/>
      <c r="C131" s="11"/>
      <c r="D131" s="10"/>
      <c r="E131" s="10"/>
      <c r="F131" s="12"/>
      <c r="G131" s="15" t="str">
        <f t="shared" si="2"/>
        <v>-</v>
      </c>
    </row>
    <row r="132" spans="1:7" ht="22.5" customHeight="1" x14ac:dyDescent="0.3">
      <c r="A132" s="20" t="s">
        <v>252</v>
      </c>
      <c r="B132" s="10"/>
      <c r="C132" s="29"/>
      <c r="D132" s="10"/>
      <c r="E132" s="10"/>
      <c r="F132" s="12"/>
      <c r="G132" s="15" t="str">
        <f t="shared" si="2"/>
        <v>-</v>
      </c>
    </row>
    <row r="133" spans="1:7" ht="22.5" customHeight="1" x14ac:dyDescent="0.3">
      <c r="A133" s="20" t="s">
        <v>253</v>
      </c>
      <c r="B133" s="10"/>
      <c r="C133" s="29"/>
      <c r="D133" s="10"/>
      <c r="E133" s="10"/>
      <c r="F133" s="12"/>
      <c r="G133" s="15" t="str">
        <f t="shared" si="2"/>
        <v>-</v>
      </c>
    </row>
    <row r="134" spans="1:7" ht="22.5" customHeight="1" x14ac:dyDescent="0.3">
      <c r="A134" s="20" t="s">
        <v>254</v>
      </c>
      <c r="B134" s="10"/>
      <c r="C134" s="29"/>
      <c r="D134" s="10"/>
      <c r="E134" s="10"/>
      <c r="F134" s="12"/>
      <c r="G134" s="15" t="str">
        <f t="shared" si="2"/>
        <v>-</v>
      </c>
    </row>
    <row r="135" spans="1:7" ht="22.5" customHeight="1" x14ac:dyDescent="0.3">
      <c r="A135" s="20" t="s">
        <v>255</v>
      </c>
      <c r="B135" s="10"/>
      <c r="C135" s="29"/>
      <c r="D135" s="10"/>
      <c r="E135" s="10"/>
      <c r="F135" s="12"/>
      <c r="G135" s="15" t="str">
        <f t="shared" si="2"/>
        <v>-</v>
      </c>
    </row>
    <row r="136" spans="1:7" ht="22.5" customHeight="1" x14ac:dyDescent="0.3">
      <c r="A136" s="20" t="s">
        <v>256</v>
      </c>
      <c r="B136" s="10"/>
      <c r="C136" s="29"/>
      <c r="D136" s="10"/>
      <c r="E136" s="10"/>
      <c r="F136" s="12"/>
      <c r="G136" s="15" t="str">
        <f t="shared" si="2"/>
        <v>-</v>
      </c>
    </row>
    <row r="137" spans="1:7" ht="22.5" customHeight="1" x14ac:dyDescent="0.3">
      <c r="A137" s="20" t="s">
        <v>257</v>
      </c>
      <c r="B137" s="10"/>
      <c r="C137" s="29"/>
      <c r="D137" s="10"/>
      <c r="E137" s="10"/>
      <c r="F137" s="12"/>
      <c r="G137" s="15" t="str">
        <f t="shared" si="2"/>
        <v>-</v>
      </c>
    </row>
    <row r="138" spans="1:7" ht="22.5" customHeight="1" x14ac:dyDescent="0.3">
      <c r="A138" s="20" t="s">
        <v>258</v>
      </c>
      <c r="B138" s="10"/>
      <c r="C138" s="29"/>
      <c r="D138" s="10"/>
      <c r="E138" s="10"/>
      <c r="F138" s="12"/>
      <c r="G138" s="15" t="str">
        <f t="shared" si="2"/>
        <v>-</v>
      </c>
    </row>
    <row r="139" spans="1:7" ht="22.5" customHeight="1" x14ac:dyDescent="0.3">
      <c r="A139" s="20" t="s">
        <v>259</v>
      </c>
      <c r="B139" s="10"/>
      <c r="C139" s="29"/>
      <c r="D139" s="10"/>
      <c r="E139" s="10"/>
      <c r="F139" s="12"/>
      <c r="G139" s="15" t="str">
        <f t="shared" si="2"/>
        <v>-</v>
      </c>
    </row>
    <row r="140" spans="1:7" ht="22.5" customHeight="1" x14ac:dyDescent="0.3">
      <c r="A140" s="20" t="s">
        <v>260</v>
      </c>
      <c r="B140" s="10"/>
      <c r="C140" s="29"/>
      <c r="D140" s="10"/>
      <c r="E140" s="10"/>
      <c r="F140" s="12"/>
      <c r="G140" s="15" t="str">
        <f t="shared" si="2"/>
        <v>-</v>
      </c>
    </row>
    <row r="141" spans="1:7" ht="22.5" customHeight="1" x14ac:dyDescent="0.3">
      <c r="A141" s="20" t="s">
        <v>261</v>
      </c>
      <c r="B141" s="10"/>
      <c r="C141" s="29"/>
      <c r="D141" s="10"/>
      <c r="E141" s="10"/>
      <c r="F141" s="12"/>
      <c r="G141" s="15" t="str">
        <f t="shared" si="2"/>
        <v>-</v>
      </c>
    </row>
    <row r="142" spans="1:7" ht="22.5" customHeight="1" x14ac:dyDescent="0.3">
      <c r="A142" s="20" t="s">
        <v>262</v>
      </c>
      <c r="B142" s="10"/>
      <c r="C142" s="29"/>
      <c r="D142" s="10"/>
      <c r="E142" s="10"/>
      <c r="F142" s="12"/>
      <c r="G142" s="15" t="str">
        <f t="shared" si="2"/>
        <v>-</v>
      </c>
    </row>
    <row r="143" spans="1:7" ht="22.5" customHeight="1" x14ac:dyDescent="0.3">
      <c r="A143" s="20" t="s">
        <v>263</v>
      </c>
      <c r="B143" s="10"/>
      <c r="C143" s="29"/>
      <c r="D143" s="10"/>
      <c r="E143" s="10"/>
      <c r="F143" s="12"/>
      <c r="G143" s="15" t="str">
        <f t="shared" si="2"/>
        <v>-</v>
      </c>
    </row>
    <row r="144" spans="1:7" ht="22.5" customHeight="1" x14ac:dyDescent="0.3">
      <c r="A144" s="20" t="s">
        <v>264</v>
      </c>
      <c r="B144" s="10"/>
      <c r="C144" s="29"/>
      <c r="D144" s="10"/>
      <c r="E144" s="10"/>
      <c r="F144" s="12"/>
      <c r="G144" s="15" t="str">
        <f t="shared" si="2"/>
        <v>-</v>
      </c>
    </row>
    <row r="145" spans="1:7" ht="22.5" customHeight="1" x14ac:dyDescent="0.3">
      <c r="A145" s="20" t="s">
        <v>265</v>
      </c>
      <c r="B145" s="10"/>
      <c r="C145" s="29"/>
      <c r="D145" s="10"/>
      <c r="E145" s="10"/>
      <c r="F145" s="12"/>
      <c r="G145" s="15" t="str">
        <f t="shared" si="2"/>
        <v>-</v>
      </c>
    </row>
    <row r="146" spans="1:7" ht="22.5" customHeight="1" x14ac:dyDescent="0.3">
      <c r="A146" s="20" t="s">
        <v>266</v>
      </c>
      <c r="B146" s="10"/>
      <c r="C146" s="29"/>
      <c r="D146" s="10"/>
      <c r="E146" s="10"/>
      <c r="F146" s="12"/>
      <c r="G146" s="15" t="str">
        <f t="shared" si="2"/>
        <v>-</v>
      </c>
    </row>
    <row r="147" spans="1:7" ht="22.5" customHeight="1" x14ac:dyDescent="0.3">
      <c r="A147" s="20" t="s">
        <v>267</v>
      </c>
      <c r="B147" s="10"/>
      <c r="C147" s="29"/>
      <c r="D147" s="10"/>
      <c r="E147" s="10"/>
      <c r="F147" s="12"/>
      <c r="G147" s="15" t="str">
        <f t="shared" si="2"/>
        <v>-</v>
      </c>
    </row>
    <row r="148" spans="1:7" ht="22.5" customHeight="1" x14ac:dyDescent="0.3">
      <c r="A148" s="20" t="s">
        <v>268</v>
      </c>
      <c r="B148" s="10"/>
      <c r="C148" s="29"/>
      <c r="D148" s="10"/>
      <c r="E148" s="10"/>
      <c r="F148" s="12"/>
      <c r="G148" s="15" t="str">
        <f t="shared" si="2"/>
        <v>-</v>
      </c>
    </row>
    <row r="149" spans="1:7" ht="22.5" customHeight="1" x14ac:dyDescent="0.3">
      <c r="A149" s="20" t="s">
        <v>269</v>
      </c>
      <c r="B149" s="10"/>
      <c r="C149" s="29"/>
      <c r="D149" s="10"/>
      <c r="E149" s="10"/>
      <c r="F149" s="12"/>
      <c r="G149" s="15" t="str">
        <f t="shared" si="2"/>
        <v>-</v>
      </c>
    </row>
    <row r="150" spans="1:7" ht="22.5" customHeight="1" x14ac:dyDescent="0.3">
      <c r="A150" s="20" t="s">
        <v>270</v>
      </c>
      <c r="B150" s="10"/>
      <c r="C150" s="29"/>
      <c r="D150" s="10"/>
      <c r="E150" s="10"/>
      <c r="F150" s="12"/>
      <c r="G150" s="15" t="str">
        <f t="shared" si="2"/>
        <v>-</v>
      </c>
    </row>
    <row r="151" spans="1:7" ht="22.5" customHeight="1" x14ac:dyDescent="0.3">
      <c r="A151" s="20" t="s">
        <v>271</v>
      </c>
      <c r="B151" s="10"/>
      <c r="C151" s="29"/>
      <c r="D151" s="10"/>
      <c r="E151" s="10"/>
      <c r="F151" s="12"/>
      <c r="G151" s="15" t="str">
        <f t="shared" si="2"/>
        <v>-</v>
      </c>
    </row>
    <row r="152" spans="1:7" ht="22.5" customHeight="1" x14ac:dyDescent="0.3">
      <c r="A152" s="20" t="s">
        <v>272</v>
      </c>
      <c r="B152" s="10"/>
      <c r="C152" s="29"/>
      <c r="D152" s="10"/>
      <c r="E152" s="10"/>
      <c r="F152" s="12"/>
      <c r="G152" s="15" t="str">
        <f t="shared" si="2"/>
        <v>-</v>
      </c>
    </row>
    <row r="153" spans="1:7" ht="22.5" customHeight="1" x14ac:dyDescent="0.3">
      <c r="A153" s="20" t="s">
        <v>273</v>
      </c>
      <c r="B153" s="10"/>
      <c r="C153" s="29"/>
      <c r="D153" s="10"/>
      <c r="E153" s="10"/>
      <c r="F153" s="12"/>
      <c r="G153" s="15" t="str">
        <f t="shared" si="2"/>
        <v>-</v>
      </c>
    </row>
    <row r="154" spans="1:7" ht="22.5" customHeight="1" x14ac:dyDescent="0.3">
      <c r="A154" s="20" t="s">
        <v>274</v>
      </c>
      <c r="B154" s="10"/>
      <c r="C154" s="29"/>
      <c r="D154" s="10"/>
      <c r="E154" s="10"/>
      <c r="F154" s="12"/>
      <c r="G154" s="15" t="str">
        <f t="shared" si="2"/>
        <v>-</v>
      </c>
    </row>
    <row r="155" spans="1:7" ht="22.5" customHeight="1" x14ac:dyDescent="0.3">
      <c r="A155" s="20" t="s">
        <v>275</v>
      </c>
      <c r="B155" s="10"/>
      <c r="C155" s="29"/>
      <c r="D155" s="10"/>
      <c r="E155" s="10"/>
      <c r="F155" s="12"/>
      <c r="G155" s="15" t="str">
        <f t="shared" si="2"/>
        <v>-</v>
      </c>
    </row>
    <row r="156" spans="1:7" ht="22.5" customHeight="1" x14ac:dyDescent="0.3">
      <c r="A156" s="20"/>
      <c r="B156" s="10"/>
      <c r="C156" s="29"/>
      <c r="D156" s="10"/>
      <c r="E156" s="10"/>
      <c r="F156" s="12"/>
      <c r="G156" s="15" t="str">
        <f t="shared" si="2"/>
        <v>-</v>
      </c>
    </row>
    <row r="157" spans="1:7" ht="22.5" customHeight="1" x14ac:dyDescent="0.3">
      <c r="A157" s="20" t="s">
        <v>276</v>
      </c>
      <c r="B157" s="10"/>
      <c r="C157" s="29"/>
      <c r="D157" s="10"/>
      <c r="E157" s="10"/>
      <c r="F157" s="12"/>
      <c r="G157" s="15" t="str">
        <f t="shared" si="2"/>
        <v>-</v>
      </c>
    </row>
    <row r="158" spans="1:7" ht="22.5" customHeight="1" x14ac:dyDescent="0.3">
      <c r="A158" s="20" t="s">
        <v>277</v>
      </c>
      <c r="B158" s="10"/>
      <c r="C158" s="29"/>
      <c r="D158" s="10"/>
      <c r="E158" s="10"/>
      <c r="F158" s="12"/>
      <c r="G158" s="15" t="str">
        <f t="shared" si="2"/>
        <v>-</v>
      </c>
    </row>
    <row r="159" spans="1:7" ht="22.5" customHeight="1" x14ac:dyDescent="0.3">
      <c r="A159" s="20"/>
      <c r="B159" s="10"/>
      <c r="C159" s="29"/>
      <c r="D159" s="10"/>
      <c r="E159" s="10"/>
      <c r="F159" s="12"/>
      <c r="G159" s="15" t="str">
        <f t="shared" si="2"/>
        <v>-</v>
      </c>
    </row>
    <row r="160" spans="1:7" ht="22.5" customHeight="1" x14ac:dyDescent="0.3">
      <c r="A160" s="20" t="s">
        <v>278</v>
      </c>
      <c r="B160" s="10"/>
      <c r="C160" s="29"/>
      <c r="D160" s="10"/>
      <c r="E160" s="10"/>
      <c r="F160" s="12"/>
      <c r="G160" s="15" t="str">
        <f t="shared" si="2"/>
        <v>-</v>
      </c>
    </row>
    <row r="161" spans="1:7" ht="22.5" customHeight="1" x14ac:dyDescent="0.3">
      <c r="A161" s="20" t="s">
        <v>279</v>
      </c>
      <c r="B161" s="10"/>
      <c r="C161" s="29"/>
      <c r="D161" s="10"/>
      <c r="E161" s="10"/>
      <c r="F161" s="12"/>
      <c r="G161" s="15" t="str">
        <f t="shared" si="2"/>
        <v>-</v>
      </c>
    </row>
    <row r="162" spans="1:7" ht="22.5" customHeight="1" x14ac:dyDescent="0.3">
      <c r="A162" s="20" t="s">
        <v>280</v>
      </c>
      <c r="B162" s="10"/>
      <c r="C162" s="29"/>
      <c r="D162" s="10"/>
      <c r="E162" s="10"/>
      <c r="F162" s="12"/>
      <c r="G162" s="15" t="str">
        <f t="shared" si="2"/>
        <v>-</v>
      </c>
    </row>
    <row r="163" spans="1:7" ht="22.5" customHeight="1" x14ac:dyDescent="0.3">
      <c r="A163" s="20"/>
      <c r="B163" s="10"/>
      <c r="C163" s="29"/>
      <c r="D163" s="10"/>
      <c r="E163" s="10"/>
      <c r="F163" s="12"/>
      <c r="G163" s="15" t="str">
        <f t="shared" si="2"/>
        <v>-</v>
      </c>
    </row>
    <row r="164" spans="1:7" ht="22.5" customHeight="1" x14ac:dyDescent="0.3">
      <c r="A164" s="20" t="s">
        <v>281</v>
      </c>
      <c r="B164" s="10"/>
      <c r="C164" s="29"/>
      <c r="D164" s="10"/>
      <c r="E164" s="10"/>
      <c r="F164" s="12"/>
      <c r="G164" s="15" t="str">
        <f t="shared" si="2"/>
        <v>-</v>
      </c>
    </row>
    <row r="165" spans="1:7" ht="22.5" customHeight="1" x14ac:dyDescent="0.3">
      <c r="A165" s="20" t="s">
        <v>282</v>
      </c>
      <c r="B165" s="10"/>
      <c r="C165" s="29"/>
      <c r="D165" s="10"/>
      <c r="E165" s="10"/>
      <c r="F165" s="12"/>
      <c r="G165" s="15" t="str">
        <f t="shared" si="2"/>
        <v>-</v>
      </c>
    </row>
    <row r="166" spans="1:7" ht="22.5" customHeight="1" x14ac:dyDescent="0.3">
      <c r="A166" s="20" t="s">
        <v>283</v>
      </c>
      <c r="B166" s="10"/>
      <c r="C166" s="29"/>
      <c r="D166" s="10"/>
      <c r="E166" s="10"/>
      <c r="F166" s="12"/>
      <c r="G166" s="15" t="str">
        <f t="shared" si="2"/>
        <v>-</v>
      </c>
    </row>
    <row r="167" spans="1:7" ht="22.5" customHeight="1" x14ac:dyDescent="0.3">
      <c r="A167" s="20" t="s">
        <v>284</v>
      </c>
      <c r="B167" s="10"/>
      <c r="C167" s="29"/>
      <c r="D167" s="10"/>
      <c r="E167" s="10"/>
      <c r="F167" s="12"/>
      <c r="G167" s="15" t="str">
        <f t="shared" si="2"/>
        <v>-</v>
      </c>
    </row>
    <row r="168" spans="1:7" ht="22.5" customHeight="1" x14ac:dyDescent="0.3">
      <c r="A168" s="20" t="s">
        <v>285</v>
      </c>
      <c r="B168" s="10"/>
      <c r="C168" s="29"/>
      <c r="D168" s="10"/>
      <c r="E168" s="10"/>
      <c r="F168" s="12"/>
      <c r="G168" s="15" t="str">
        <f t="shared" si="2"/>
        <v>-</v>
      </c>
    </row>
    <row r="169" spans="1:7" ht="22.5" customHeight="1" x14ac:dyDescent="0.3">
      <c r="A169" s="20" t="s">
        <v>286</v>
      </c>
      <c r="B169" s="10"/>
      <c r="C169" s="29"/>
      <c r="D169" s="10"/>
      <c r="E169" s="10"/>
      <c r="F169" s="12"/>
      <c r="G169" s="15" t="str">
        <f t="shared" si="2"/>
        <v>-</v>
      </c>
    </row>
    <row r="170" spans="1:7" ht="22.5" customHeight="1" x14ac:dyDescent="0.3">
      <c r="A170" s="20" t="s">
        <v>287</v>
      </c>
      <c r="B170" s="10"/>
      <c r="C170" s="29"/>
      <c r="D170" s="10"/>
      <c r="E170" s="10"/>
      <c r="F170" s="12"/>
      <c r="G170" s="15" t="str">
        <f t="shared" si="2"/>
        <v>-</v>
      </c>
    </row>
    <row r="171" spans="1:7" ht="22.5" customHeight="1" x14ac:dyDescent="0.3">
      <c r="A171" s="20" t="s">
        <v>288</v>
      </c>
      <c r="B171" s="10"/>
      <c r="C171" s="29"/>
      <c r="D171" s="10"/>
      <c r="E171" s="10"/>
      <c r="F171" s="12"/>
      <c r="G171" s="15" t="str">
        <f t="shared" si="2"/>
        <v>-</v>
      </c>
    </row>
    <row r="172" spans="1:7" ht="22.5" customHeight="1" x14ac:dyDescent="0.3">
      <c r="A172" s="20" t="s">
        <v>289</v>
      </c>
      <c r="B172" s="10"/>
      <c r="C172" s="29"/>
      <c r="D172" s="10"/>
      <c r="E172" s="10"/>
      <c r="F172" s="12"/>
      <c r="G172" s="15" t="str">
        <f t="shared" si="2"/>
        <v>-</v>
      </c>
    </row>
    <row r="173" spans="1:7" ht="22.5" customHeight="1" x14ac:dyDescent="0.3">
      <c r="A173" s="20" t="s">
        <v>290</v>
      </c>
      <c r="B173" s="10"/>
      <c r="C173" s="29"/>
      <c r="D173" s="10"/>
      <c r="E173" s="10"/>
      <c r="F173" s="12"/>
      <c r="G173" s="15" t="str">
        <f t="shared" si="2"/>
        <v>-</v>
      </c>
    </row>
    <row r="174" spans="1:7" ht="22.5" customHeight="1" x14ac:dyDescent="0.3">
      <c r="A174" s="20" t="s">
        <v>291</v>
      </c>
      <c r="B174" s="10"/>
      <c r="C174" s="29"/>
      <c r="D174" s="10"/>
      <c r="E174" s="10"/>
      <c r="F174" s="12"/>
      <c r="G174" s="15" t="str">
        <f t="shared" si="2"/>
        <v>-</v>
      </c>
    </row>
    <row r="175" spans="1:7" ht="22.5" customHeight="1" x14ac:dyDescent="0.3">
      <c r="A175" s="20" t="s">
        <v>292</v>
      </c>
      <c r="B175" s="10"/>
      <c r="C175" s="29"/>
      <c r="D175" s="10"/>
      <c r="E175" s="10"/>
      <c r="F175" s="12"/>
      <c r="G175" s="15" t="str">
        <f t="shared" si="2"/>
        <v>-</v>
      </c>
    </row>
    <row r="176" spans="1:7" ht="22.5" customHeight="1" x14ac:dyDescent="0.3">
      <c r="A176" s="20" t="s">
        <v>293</v>
      </c>
      <c r="B176" s="10"/>
      <c r="C176" s="29"/>
      <c r="D176" s="10"/>
      <c r="E176" s="10"/>
      <c r="F176" s="12"/>
      <c r="G176" s="15" t="str">
        <f t="shared" si="2"/>
        <v>-</v>
      </c>
    </row>
    <row r="177" spans="1:7" ht="22.5" customHeight="1" x14ac:dyDescent="0.3">
      <c r="A177" s="20" t="s">
        <v>294</v>
      </c>
      <c r="B177" s="10"/>
      <c r="C177" s="29"/>
      <c r="D177" s="10"/>
      <c r="E177" s="10"/>
      <c r="F177" s="12"/>
      <c r="G177" s="15" t="str">
        <f t="shared" si="2"/>
        <v>-</v>
      </c>
    </row>
    <row r="178" spans="1:7" ht="22.5" customHeight="1" x14ac:dyDescent="0.3">
      <c r="A178" s="20" t="s">
        <v>295</v>
      </c>
      <c r="B178" s="10"/>
      <c r="C178" s="29"/>
      <c r="D178" s="10"/>
      <c r="E178" s="10"/>
      <c r="F178" s="12"/>
      <c r="G178" s="15" t="str">
        <f t="shared" si="2"/>
        <v>-</v>
      </c>
    </row>
    <row r="179" spans="1:7" ht="22.5" customHeight="1" x14ac:dyDescent="0.3">
      <c r="A179" s="20" t="s">
        <v>296</v>
      </c>
      <c r="B179" s="10"/>
      <c r="C179" s="29"/>
      <c r="D179" s="10"/>
      <c r="E179" s="10"/>
      <c r="F179" s="12"/>
      <c r="G179" s="15" t="str">
        <f t="shared" si="2"/>
        <v>-</v>
      </c>
    </row>
    <row r="180" spans="1:7" ht="22.5" customHeight="1" x14ac:dyDescent="0.3">
      <c r="A180" s="20" t="s">
        <v>297</v>
      </c>
      <c r="B180" s="10"/>
      <c r="C180" s="29"/>
      <c r="D180" s="10"/>
      <c r="E180" s="10"/>
      <c r="F180" s="12"/>
      <c r="G180" s="15" t="str">
        <f t="shared" si="2"/>
        <v>-</v>
      </c>
    </row>
    <row r="181" spans="1:7" ht="22.5" customHeight="1" x14ac:dyDescent="0.3">
      <c r="A181" s="20" t="s">
        <v>298</v>
      </c>
      <c r="B181" s="10"/>
      <c r="C181" s="29"/>
      <c r="D181" s="10"/>
      <c r="E181" s="10"/>
      <c r="F181" s="12"/>
      <c r="G181" s="15" t="str">
        <f t="shared" si="2"/>
        <v>-</v>
      </c>
    </row>
    <row r="182" spans="1:7" ht="22.5" customHeight="1" x14ac:dyDescent="0.3">
      <c r="A182" s="20" t="s">
        <v>299</v>
      </c>
      <c r="B182" s="10"/>
      <c r="C182" s="29"/>
      <c r="D182" s="10"/>
      <c r="E182" s="10"/>
      <c r="F182" s="12"/>
      <c r="G182" s="15" t="str">
        <f t="shared" si="2"/>
        <v>-</v>
      </c>
    </row>
    <row r="183" spans="1:7" ht="22.5" customHeight="1" x14ac:dyDescent="0.3">
      <c r="A183" s="20" t="s">
        <v>300</v>
      </c>
      <c r="B183" s="10"/>
      <c r="C183" s="29"/>
      <c r="D183" s="10"/>
      <c r="E183" s="10"/>
      <c r="F183" s="12"/>
      <c r="G183" s="15" t="str">
        <f t="shared" si="2"/>
        <v>-</v>
      </c>
    </row>
    <row r="184" spans="1:7" ht="22.5" customHeight="1" x14ac:dyDescent="0.3">
      <c r="A184" s="20"/>
      <c r="B184" s="10"/>
      <c r="C184" s="29"/>
      <c r="D184" s="10"/>
      <c r="E184" s="10"/>
      <c r="F184" s="12"/>
      <c r="G184" s="15" t="str">
        <f t="shared" si="2"/>
        <v>-</v>
      </c>
    </row>
    <row r="185" spans="1:7" ht="22.5" customHeight="1" x14ac:dyDescent="0.3">
      <c r="A185" s="20" t="s">
        <v>301</v>
      </c>
      <c r="B185" s="10"/>
      <c r="C185" s="29"/>
      <c r="D185" s="10"/>
      <c r="E185" s="10"/>
      <c r="F185" s="12"/>
      <c r="G185" s="15" t="str">
        <f t="shared" si="2"/>
        <v>-</v>
      </c>
    </row>
    <row r="186" spans="1:7" ht="22.5" customHeight="1" x14ac:dyDescent="0.3">
      <c r="A186" s="20" t="s">
        <v>302</v>
      </c>
      <c r="B186" s="10"/>
      <c r="C186" s="29"/>
      <c r="D186" s="10"/>
      <c r="E186" s="10"/>
      <c r="F186" s="12"/>
      <c r="G186" s="15" t="str">
        <f t="shared" si="2"/>
        <v>-</v>
      </c>
    </row>
    <row r="187" spans="1:7" ht="22.5" customHeight="1" x14ac:dyDescent="0.3">
      <c r="A187" s="20" t="s">
        <v>303</v>
      </c>
      <c r="B187" s="10"/>
      <c r="C187" s="29"/>
      <c r="D187" s="10"/>
      <c r="E187" s="10"/>
      <c r="F187" s="12"/>
      <c r="G187" s="15" t="str">
        <f t="shared" si="2"/>
        <v>-</v>
      </c>
    </row>
    <row r="188" spans="1:7" ht="22.5" customHeight="1" x14ac:dyDescent="0.3">
      <c r="A188" s="20" t="s">
        <v>304</v>
      </c>
      <c r="B188" s="10"/>
      <c r="C188" s="29"/>
      <c r="D188" s="10"/>
      <c r="E188" s="10"/>
      <c r="F188" s="12"/>
      <c r="G188" s="15" t="str">
        <f t="shared" si="2"/>
        <v>-</v>
      </c>
    </row>
    <row r="189" spans="1:7" ht="22.5" customHeight="1" x14ac:dyDescent="0.3">
      <c r="A189" s="20" t="s">
        <v>305</v>
      </c>
      <c r="B189" s="10"/>
      <c r="C189" s="29"/>
      <c r="D189" s="10"/>
      <c r="E189" s="10"/>
      <c r="F189" s="12"/>
      <c r="G189" s="15" t="str">
        <f t="shared" si="2"/>
        <v>-</v>
      </c>
    </row>
    <row r="190" spans="1:7" ht="22.5" customHeight="1" x14ac:dyDescent="0.3">
      <c r="A190" s="20" t="s">
        <v>306</v>
      </c>
      <c r="B190" s="10"/>
      <c r="C190" s="29"/>
      <c r="D190" s="10"/>
      <c r="E190" s="10"/>
      <c r="F190" s="12"/>
      <c r="G190" s="15" t="str">
        <f t="shared" si="2"/>
        <v>-</v>
      </c>
    </row>
    <row r="191" spans="1:7" ht="22.5" customHeight="1" x14ac:dyDescent="0.3">
      <c r="A191" s="20" t="s">
        <v>307</v>
      </c>
      <c r="B191" s="10"/>
      <c r="C191" s="29"/>
      <c r="D191" s="10"/>
      <c r="E191" s="10"/>
      <c r="F191" s="12"/>
      <c r="G191" s="15" t="str">
        <f t="shared" si="2"/>
        <v>-</v>
      </c>
    </row>
    <row r="192" spans="1:7" ht="22.5" customHeight="1" x14ac:dyDescent="0.3">
      <c r="A192" s="20" t="s">
        <v>308</v>
      </c>
      <c r="B192" s="10"/>
      <c r="C192" s="29"/>
      <c r="D192" s="10"/>
      <c r="E192" s="10"/>
      <c r="F192" s="12"/>
      <c r="G192" s="15" t="str">
        <f t="shared" si="2"/>
        <v>-</v>
      </c>
    </row>
    <row r="193" spans="1:7" ht="22.5" customHeight="1" x14ac:dyDescent="0.3">
      <c r="A193" s="20" t="s">
        <v>309</v>
      </c>
      <c r="B193" s="10"/>
      <c r="C193" s="29"/>
      <c r="D193" s="10"/>
      <c r="E193" s="10"/>
      <c r="F193" s="12"/>
      <c r="G193" s="15" t="str">
        <f t="shared" si="2"/>
        <v>-</v>
      </c>
    </row>
    <row r="194" spans="1:7" ht="22.5" customHeight="1" x14ac:dyDescent="0.3">
      <c r="A194" s="20" t="s">
        <v>310</v>
      </c>
      <c r="B194" s="10"/>
      <c r="C194" s="29"/>
      <c r="D194" s="10"/>
      <c r="E194" s="10"/>
      <c r="F194" s="12"/>
      <c r="G194" s="15" t="str">
        <f t="shared" ref="G194:G257" si="3">IFERROR(F194/D194, "-")</f>
        <v>-</v>
      </c>
    </row>
    <row r="195" spans="1:7" ht="22.5" customHeight="1" x14ac:dyDescent="0.3">
      <c r="A195" s="20" t="s">
        <v>311</v>
      </c>
      <c r="B195" s="10"/>
      <c r="C195" s="29"/>
      <c r="D195" s="10"/>
      <c r="E195" s="10"/>
      <c r="F195" s="12"/>
      <c r="G195" s="15" t="str">
        <f t="shared" si="3"/>
        <v>-</v>
      </c>
    </row>
    <row r="196" spans="1:7" ht="22.5" customHeight="1" x14ac:dyDescent="0.3">
      <c r="A196" s="20" t="s">
        <v>312</v>
      </c>
      <c r="B196" s="10"/>
      <c r="C196" s="29"/>
      <c r="D196" s="10"/>
      <c r="E196" s="10"/>
      <c r="F196" s="12"/>
      <c r="G196" s="15" t="str">
        <f t="shared" si="3"/>
        <v>-</v>
      </c>
    </row>
    <row r="197" spans="1:7" ht="22.5" customHeight="1" x14ac:dyDescent="0.3">
      <c r="A197" s="20" t="s">
        <v>313</v>
      </c>
      <c r="B197" s="10"/>
      <c r="C197" s="29"/>
      <c r="D197" s="10"/>
      <c r="E197" s="10"/>
      <c r="F197" s="12"/>
      <c r="G197" s="15" t="str">
        <f t="shared" si="3"/>
        <v>-</v>
      </c>
    </row>
    <row r="198" spans="1:7" ht="22.5" customHeight="1" x14ac:dyDescent="0.3">
      <c r="A198" s="20" t="s">
        <v>314</v>
      </c>
      <c r="B198" s="10"/>
      <c r="C198" s="29"/>
      <c r="D198" s="10"/>
      <c r="E198" s="10"/>
      <c r="F198" s="12"/>
      <c r="G198" s="15" t="str">
        <f t="shared" si="3"/>
        <v>-</v>
      </c>
    </row>
    <row r="199" spans="1:7" ht="22.5" customHeight="1" x14ac:dyDescent="0.3">
      <c r="A199" s="20" t="s">
        <v>315</v>
      </c>
      <c r="B199" s="10"/>
      <c r="C199" s="29"/>
      <c r="D199" s="10"/>
      <c r="E199" s="10"/>
      <c r="F199" s="12"/>
      <c r="G199" s="15" t="str">
        <f t="shared" si="3"/>
        <v>-</v>
      </c>
    </row>
    <row r="200" spans="1:7" ht="22.5" customHeight="1" x14ac:dyDescent="0.3">
      <c r="A200" s="20" t="s">
        <v>316</v>
      </c>
      <c r="B200" s="10"/>
      <c r="C200" s="29"/>
      <c r="D200" s="10"/>
      <c r="E200" s="10"/>
      <c r="F200" s="12"/>
      <c r="G200" s="15" t="str">
        <f t="shared" si="3"/>
        <v>-</v>
      </c>
    </row>
    <row r="201" spans="1:7" ht="22.5" customHeight="1" x14ac:dyDescent="0.3">
      <c r="A201" s="20" t="s">
        <v>317</v>
      </c>
      <c r="B201" s="10"/>
      <c r="C201" s="29"/>
      <c r="D201" s="10"/>
      <c r="E201" s="10"/>
      <c r="F201" s="12"/>
      <c r="G201" s="15" t="str">
        <f t="shared" si="3"/>
        <v>-</v>
      </c>
    </row>
    <row r="202" spans="1:7" ht="22.5" customHeight="1" x14ac:dyDescent="0.3">
      <c r="A202" s="20" t="s">
        <v>318</v>
      </c>
      <c r="B202" s="10"/>
      <c r="C202" s="29"/>
      <c r="D202" s="10"/>
      <c r="E202" s="10"/>
      <c r="F202" s="12"/>
      <c r="G202" s="15" t="str">
        <f t="shared" si="3"/>
        <v>-</v>
      </c>
    </row>
    <row r="203" spans="1:7" ht="22.5" customHeight="1" x14ac:dyDescent="0.3">
      <c r="A203" s="20" t="s">
        <v>319</v>
      </c>
      <c r="B203" s="10"/>
      <c r="C203" s="29"/>
      <c r="D203" s="10"/>
      <c r="E203" s="10"/>
      <c r="F203" s="12"/>
      <c r="G203" s="15" t="str">
        <f t="shared" si="3"/>
        <v>-</v>
      </c>
    </row>
    <row r="204" spans="1:7" ht="22.5" customHeight="1" x14ac:dyDescent="0.3">
      <c r="A204" s="20" t="s">
        <v>320</v>
      </c>
      <c r="B204" s="10"/>
      <c r="C204" s="29"/>
      <c r="D204" s="10"/>
      <c r="E204" s="10"/>
      <c r="F204" s="12"/>
      <c r="G204" s="15" t="str">
        <f t="shared" si="3"/>
        <v>-</v>
      </c>
    </row>
    <row r="205" spans="1:7" ht="22.5" customHeight="1" x14ac:dyDescent="0.3">
      <c r="A205" s="20" t="s">
        <v>321</v>
      </c>
      <c r="B205" s="10"/>
      <c r="C205" s="29"/>
      <c r="D205" s="10"/>
      <c r="E205" s="10"/>
      <c r="F205" s="12"/>
      <c r="G205" s="15" t="str">
        <f t="shared" si="3"/>
        <v>-</v>
      </c>
    </row>
    <row r="206" spans="1:7" ht="22.5" customHeight="1" x14ac:dyDescent="0.3">
      <c r="A206" s="20" t="s">
        <v>322</v>
      </c>
      <c r="B206" s="10"/>
      <c r="C206" s="29"/>
      <c r="D206" s="10"/>
      <c r="E206" s="10"/>
      <c r="F206" s="12"/>
      <c r="G206" s="15" t="str">
        <f t="shared" si="3"/>
        <v>-</v>
      </c>
    </row>
    <row r="207" spans="1:7" ht="22.5" customHeight="1" x14ac:dyDescent="0.3">
      <c r="A207" s="20" t="s">
        <v>323</v>
      </c>
      <c r="B207" s="10"/>
      <c r="C207" s="29"/>
      <c r="D207" s="10"/>
      <c r="E207" s="10"/>
      <c r="F207" s="12"/>
      <c r="G207" s="15" t="str">
        <f t="shared" si="3"/>
        <v>-</v>
      </c>
    </row>
    <row r="208" spans="1:7" ht="22.5" customHeight="1" x14ac:dyDescent="0.3">
      <c r="A208" s="20" t="s">
        <v>324</v>
      </c>
      <c r="B208" s="10"/>
      <c r="C208" s="29"/>
      <c r="D208" s="10"/>
      <c r="E208" s="10"/>
      <c r="F208" s="12"/>
      <c r="G208" s="15" t="str">
        <f t="shared" si="3"/>
        <v>-</v>
      </c>
    </row>
    <row r="209" spans="1:7" ht="22.5" customHeight="1" x14ac:dyDescent="0.3">
      <c r="A209" s="20" t="s">
        <v>325</v>
      </c>
      <c r="B209" s="10"/>
      <c r="C209" s="29"/>
      <c r="D209" s="10"/>
      <c r="E209" s="10"/>
      <c r="F209" s="12"/>
      <c r="G209" s="15" t="str">
        <f t="shared" si="3"/>
        <v>-</v>
      </c>
    </row>
    <row r="210" spans="1:7" ht="22.5" customHeight="1" x14ac:dyDescent="0.25">
      <c r="A210" s="57" t="s">
        <v>326</v>
      </c>
      <c r="B210" s="10"/>
      <c r="C210" s="29"/>
      <c r="D210" s="10"/>
      <c r="E210" s="10"/>
      <c r="F210" s="12"/>
      <c r="G210" s="15" t="str">
        <f t="shared" si="3"/>
        <v>-</v>
      </c>
    </row>
    <row r="211" spans="1:7" ht="22.5" customHeight="1" x14ac:dyDescent="0.3">
      <c r="A211" s="20"/>
      <c r="B211" s="10"/>
      <c r="C211" s="29"/>
      <c r="D211" s="10"/>
      <c r="E211" s="10"/>
      <c r="F211" s="12"/>
      <c r="G211" s="15" t="str">
        <f t="shared" si="3"/>
        <v>-</v>
      </c>
    </row>
    <row r="212" spans="1:7" ht="22.5" customHeight="1" x14ac:dyDescent="0.3">
      <c r="A212" s="20" t="s">
        <v>327</v>
      </c>
      <c r="B212" s="10"/>
      <c r="C212" s="29"/>
      <c r="D212" s="10"/>
      <c r="E212" s="10"/>
      <c r="F212" s="12"/>
      <c r="G212" s="15" t="str">
        <f t="shared" si="3"/>
        <v>-</v>
      </c>
    </row>
    <row r="213" spans="1:7" ht="22.5" customHeight="1" x14ac:dyDescent="0.25">
      <c r="A213" s="57" t="s">
        <v>328</v>
      </c>
      <c r="B213" s="10"/>
      <c r="C213" s="29"/>
      <c r="D213" s="10"/>
      <c r="E213" s="10"/>
      <c r="F213" s="12"/>
      <c r="G213" s="15" t="str">
        <f t="shared" si="3"/>
        <v>-</v>
      </c>
    </row>
    <row r="214" spans="1:7" ht="22.5" customHeight="1" x14ac:dyDescent="0.3">
      <c r="A214" s="20" t="s">
        <v>329</v>
      </c>
      <c r="B214" s="10"/>
      <c r="C214" s="29"/>
      <c r="D214" s="10"/>
      <c r="E214" s="10"/>
      <c r="F214" s="12"/>
      <c r="G214" s="15" t="str">
        <f t="shared" si="3"/>
        <v>-</v>
      </c>
    </row>
    <row r="215" spans="1:7" ht="22.5" customHeight="1" x14ac:dyDescent="0.3">
      <c r="A215" s="20" t="s">
        <v>330</v>
      </c>
      <c r="B215" s="10"/>
      <c r="C215" s="29"/>
      <c r="D215" s="10"/>
      <c r="E215" s="10"/>
      <c r="F215" s="12"/>
      <c r="G215" s="15" t="str">
        <f t="shared" si="3"/>
        <v>-</v>
      </c>
    </row>
    <row r="216" spans="1:7" ht="22.5" customHeight="1" x14ac:dyDescent="0.3">
      <c r="A216" s="20" t="s">
        <v>331</v>
      </c>
      <c r="B216" s="10"/>
      <c r="C216" s="29"/>
      <c r="D216" s="10"/>
      <c r="E216" s="10"/>
      <c r="F216" s="12"/>
      <c r="G216" s="15" t="str">
        <f t="shared" si="3"/>
        <v>-</v>
      </c>
    </row>
    <row r="217" spans="1:7" ht="22.5" customHeight="1" x14ac:dyDescent="0.3">
      <c r="A217" s="20" t="s">
        <v>332</v>
      </c>
      <c r="B217" s="10"/>
      <c r="C217" s="29"/>
      <c r="D217" s="10"/>
      <c r="E217" s="10"/>
      <c r="F217" s="12"/>
      <c r="G217" s="15" t="str">
        <f t="shared" si="3"/>
        <v>-</v>
      </c>
    </row>
    <row r="218" spans="1:7" ht="22.5" customHeight="1" x14ac:dyDescent="0.3">
      <c r="A218" s="20" t="s">
        <v>333</v>
      </c>
      <c r="B218" s="10"/>
      <c r="C218" s="29"/>
      <c r="D218" s="10"/>
      <c r="E218" s="10"/>
      <c r="F218" s="12"/>
      <c r="G218" s="15" t="str">
        <f t="shared" si="3"/>
        <v>-</v>
      </c>
    </row>
    <row r="219" spans="1:7" ht="22.5" customHeight="1" x14ac:dyDescent="0.3">
      <c r="A219" s="20" t="s">
        <v>334</v>
      </c>
      <c r="B219" s="10"/>
      <c r="C219" s="29"/>
      <c r="D219" s="10"/>
      <c r="E219" s="10"/>
      <c r="F219" s="12"/>
      <c r="G219" s="15" t="str">
        <f t="shared" si="3"/>
        <v>-</v>
      </c>
    </row>
    <row r="220" spans="1:7" ht="22.5" customHeight="1" x14ac:dyDescent="0.3">
      <c r="A220" s="20" t="s">
        <v>335</v>
      </c>
      <c r="B220" s="10"/>
      <c r="C220" s="29"/>
      <c r="D220" s="10"/>
      <c r="E220" s="10"/>
      <c r="F220" s="12"/>
      <c r="G220" s="15" t="str">
        <f t="shared" si="3"/>
        <v>-</v>
      </c>
    </row>
    <row r="221" spans="1:7" ht="22.5" customHeight="1" x14ac:dyDescent="0.3">
      <c r="A221" s="20" t="s">
        <v>336</v>
      </c>
      <c r="B221" s="10"/>
      <c r="C221" s="29"/>
      <c r="D221" s="10"/>
      <c r="E221" s="10"/>
      <c r="F221" s="12"/>
      <c r="G221" s="15" t="str">
        <f t="shared" si="3"/>
        <v>-</v>
      </c>
    </row>
    <row r="222" spans="1:7" ht="22.5" customHeight="1" x14ac:dyDescent="0.3">
      <c r="A222" s="20" t="s">
        <v>337</v>
      </c>
      <c r="B222" s="10"/>
      <c r="C222" s="29"/>
      <c r="D222" s="10"/>
      <c r="E222" s="10"/>
      <c r="F222" s="12"/>
      <c r="G222" s="15" t="str">
        <f t="shared" si="3"/>
        <v>-</v>
      </c>
    </row>
    <row r="223" spans="1:7" ht="22.5" customHeight="1" x14ac:dyDescent="0.3">
      <c r="A223" s="20" t="s">
        <v>338</v>
      </c>
      <c r="B223" s="10"/>
      <c r="C223" s="29"/>
      <c r="D223" s="10"/>
      <c r="E223" s="10"/>
      <c r="F223" s="12"/>
      <c r="G223" s="15" t="str">
        <f t="shared" si="3"/>
        <v>-</v>
      </c>
    </row>
    <row r="224" spans="1:7" ht="22.5" customHeight="1" x14ac:dyDescent="0.3">
      <c r="A224" s="20" t="s">
        <v>339</v>
      </c>
      <c r="B224" s="10"/>
      <c r="C224" s="29"/>
      <c r="D224" s="10"/>
      <c r="E224" s="10"/>
      <c r="F224" s="12"/>
      <c r="G224" s="15" t="str">
        <f t="shared" si="3"/>
        <v>-</v>
      </c>
    </row>
    <row r="225" spans="1:7" ht="22.5" customHeight="1" x14ac:dyDescent="0.3">
      <c r="A225" s="20" t="s">
        <v>340</v>
      </c>
      <c r="B225" s="10"/>
      <c r="C225" s="29"/>
      <c r="D225" s="10"/>
      <c r="E225" s="10"/>
      <c r="F225" s="12"/>
      <c r="G225" s="15" t="str">
        <f t="shared" si="3"/>
        <v>-</v>
      </c>
    </row>
    <row r="226" spans="1:7" ht="22.5" customHeight="1" x14ac:dyDescent="0.3">
      <c r="A226" s="20" t="s">
        <v>341</v>
      </c>
      <c r="B226" s="10"/>
      <c r="C226" s="29"/>
      <c r="D226" s="10"/>
      <c r="E226" s="10"/>
      <c r="F226" s="12"/>
      <c r="G226" s="15" t="str">
        <f t="shared" si="3"/>
        <v>-</v>
      </c>
    </row>
    <row r="227" spans="1:7" ht="22.5" customHeight="1" x14ac:dyDescent="0.3">
      <c r="A227" s="20" t="s">
        <v>342</v>
      </c>
      <c r="B227" s="10"/>
      <c r="C227" s="29"/>
      <c r="D227" s="10"/>
      <c r="E227" s="10"/>
      <c r="F227" s="12"/>
      <c r="G227" s="15" t="str">
        <f t="shared" si="3"/>
        <v>-</v>
      </c>
    </row>
    <row r="228" spans="1:7" ht="22.5" customHeight="1" x14ac:dyDescent="0.3">
      <c r="A228" s="20" t="s">
        <v>343</v>
      </c>
      <c r="B228" s="10"/>
      <c r="C228" s="29"/>
      <c r="D228" s="10"/>
      <c r="E228" s="10"/>
      <c r="F228" s="12"/>
      <c r="G228" s="15" t="str">
        <f t="shared" si="3"/>
        <v>-</v>
      </c>
    </row>
    <row r="229" spans="1:7" ht="22.5" customHeight="1" x14ac:dyDescent="0.3">
      <c r="A229" s="20" t="s">
        <v>344</v>
      </c>
      <c r="B229" s="10"/>
      <c r="C229" s="29"/>
      <c r="D229" s="10"/>
      <c r="E229" s="10"/>
      <c r="F229" s="12"/>
      <c r="G229" s="15" t="str">
        <f t="shared" si="3"/>
        <v>-</v>
      </c>
    </row>
    <row r="230" spans="1:7" ht="22.5" customHeight="1" x14ac:dyDescent="0.3">
      <c r="A230" s="20" t="s">
        <v>345</v>
      </c>
      <c r="B230" s="10"/>
      <c r="C230" s="29"/>
      <c r="D230" s="10"/>
      <c r="E230" s="10"/>
      <c r="F230" s="12"/>
      <c r="G230" s="15" t="str">
        <f t="shared" si="3"/>
        <v>-</v>
      </c>
    </row>
    <row r="231" spans="1:7" ht="22.5" customHeight="1" x14ac:dyDescent="0.3">
      <c r="A231" s="20" t="s">
        <v>346</v>
      </c>
      <c r="B231" s="10"/>
      <c r="C231" s="29"/>
      <c r="D231" s="10"/>
      <c r="E231" s="10"/>
      <c r="F231" s="12"/>
      <c r="G231" s="15" t="str">
        <f t="shared" si="3"/>
        <v>-</v>
      </c>
    </row>
    <row r="232" spans="1:7" ht="22.5" customHeight="1" x14ac:dyDescent="0.3">
      <c r="A232" s="20" t="s">
        <v>347</v>
      </c>
      <c r="B232" s="10"/>
      <c r="C232" s="29"/>
      <c r="D232" s="10"/>
      <c r="E232" s="10"/>
      <c r="F232" s="12"/>
      <c r="G232" s="15" t="str">
        <f t="shared" si="3"/>
        <v>-</v>
      </c>
    </row>
    <row r="233" spans="1:7" ht="22.5" customHeight="1" x14ac:dyDescent="0.3">
      <c r="A233" s="20" t="s">
        <v>348</v>
      </c>
      <c r="B233" s="10"/>
      <c r="C233" s="29"/>
      <c r="D233" s="10"/>
      <c r="E233" s="10"/>
      <c r="F233" s="12"/>
      <c r="G233" s="15" t="str">
        <f t="shared" si="3"/>
        <v>-</v>
      </c>
    </row>
    <row r="234" spans="1:7" ht="22.5" customHeight="1" x14ac:dyDescent="0.3">
      <c r="A234" s="20" t="s">
        <v>349</v>
      </c>
      <c r="B234" s="10"/>
      <c r="C234" s="29"/>
      <c r="D234" s="10"/>
      <c r="E234" s="10"/>
      <c r="F234" s="12"/>
      <c r="G234" s="15" t="str">
        <f t="shared" si="3"/>
        <v>-</v>
      </c>
    </row>
    <row r="235" spans="1:7" ht="22.5" customHeight="1" x14ac:dyDescent="0.3">
      <c r="A235" s="20" t="s">
        <v>350</v>
      </c>
      <c r="B235" s="10"/>
      <c r="C235" s="29"/>
      <c r="D235" s="10"/>
      <c r="E235" s="10"/>
      <c r="F235" s="12"/>
      <c r="G235" s="15" t="str">
        <f t="shared" si="3"/>
        <v>-</v>
      </c>
    </row>
    <row r="236" spans="1:7" ht="22.5" customHeight="1" x14ac:dyDescent="0.3">
      <c r="A236" s="20" t="s">
        <v>351</v>
      </c>
      <c r="B236" s="10"/>
      <c r="C236" s="29"/>
      <c r="D236" s="10"/>
      <c r="E236" s="10"/>
      <c r="F236" s="12"/>
      <c r="G236" s="15" t="str">
        <f t="shared" si="3"/>
        <v>-</v>
      </c>
    </row>
    <row r="237" spans="1:7" ht="22.5" customHeight="1" x14ac:dyDescent="0.3">
      <c r="A237" s="20" t="s">
        <v>352</v>
      </c>
      <c r="B237" s="10"/>
      <c r="C237" s="29"/>
      <c r="D237" s="10"/>
      <c r="E237" s="10"/>
      <c r="F237" s="12"/>
      <c r="G237" s="15" t="str">
        <f t="shared" si="3"/>
        <v>-</v>
      </c>
    </row>
    <row r="238" spans="1:7" ht="22.5" customHeight="1" x14ac:dyDescent="0.3">
      <c r="A238" s="20" t="s">
        <v>353</v>
      </c>
      <c r="B238" s="10"/>
      <c r="C238" s="29"/>
      <c r="D238" s="10"/>
      <c r="E238" s="10"/>
      <c r="F238" s="12"/>
      <c r="G238" s="15" t="str">
        <f t="shared" si="3"/>
        <v>-</v>
      </c>
    </row>
    <row r="239" spans="1:7" ht="22.5" customHeight="1" x14ac:dyDescent="0.3">
      <c r="A239" s="20" t="s">
        <v>354</v>
      </c>
      <c r="B239" s="10"/>
      <c r="C239" s="29"/>
      <c r="D239" s="10"/>
      <c r="E239" s="10"/>
      <c r="F239" s="12"/>
      <c r="G239" s="15" t="str">
        <f t="shared" si="3"/>
        <v>-</v>
      </c>
    </row>
    <row r="240" spans="1:7" ht="22.5" customHeight="1" x14ac:dyDescent="0.3">
      <c r="A240" s="20" t="s">
        <v>355</v>
      </c>
      <c r="B240" s="10"/>
      <c r="C240" s="29"/>
      <c r="D240" s="10"/>
      <c r="E240" s="10"/>
      <c r="F240" s="12"/>
      <c r="G240" s="15" t="str">
        <f t="shared" si="3"/>
        <v>-</v>
      </c>
    </row>
    <row r="241" spans="1:7" ht="22.5" customHeight="1" x14ac:dyDescent="0.3">
      <c r="A241" s="20" t="s">
        <v>356</v>
      </c>
      <c r="B241" s="10"/>
      <c r="C241" s="29"/>
      <c r="D241" s="10"/>
      <c r="E241" s="10"/>
      <c r="F241" s="12"/>
      <c r="G241" s="15" t="str">
        <f t="shared" si="3"/>
        <v>-</v>
      </c>
    </row>
    <row r="242" spans="1:7" ht="22.5" customHeight="1" x14ac:dyDescent="0.3">
      <c r="A242" s="20" t="s">
        <v>357</v>
      </c>
      <c r="B242" s="10"/>
      <c r="C242" s="29"/>
      <c r="D242" s="10"/>
      <c r="E242" s="10"/>
      <c r="F242" s="12"/>
      <c r="G242" s="15" t="str">
        <f t="shared" si="3"/>
        <v>-</v>
      </c>
    </row>
    <row r="243" spans="1:7" ht="22.5" customHeight="1" x14ac:dyDescent="0.3">
      <c r="A243" s="20" t="s">
        <v>358</v>
      </c>
      <c r="B243" s="10"/>
      <c r="C243" s="29"/>
      <c r="D243" s="10"/>
      <c r="E243" s="10"/>
      <c r="F243" s="12"/>
      <c r="G243" s="15" t="str">
        <f t="shared" si="3"/>
        <v>-</v>
      </c>
    </row>
    <row r="244" spans="1:7" ht="22.5" customHeight="1" x14ac:dyDescent="0.3">
      <c r="A244" s="20" t="s">
        <v>359</v>
      </c>
      <c r="B244" s="10"/>
      <c r="C244" s="29"/>
      <c r="D244" s="10"/>
      <c r="E244" s="10"/>
      <c r="F244" s="12"/>
      <c r="G244" s="15" t="str">
        <f t="shared" si="3"/>
        <v>-</v>
      </c>
    </row>
    <row r="245" spans="1:7" ht="22.5" customHeight="1" x14ac:dyDescent="0.3">
      <c r="A245" s="20" t="s">
        <v>360</v>
      </c>
      <c r="B245" s="10"/>
      <c r="C245" s="29"/>
      <c r="D245" s="10"/>
      <c r="E245" s="10"/>
      <c r="F245" s="12"/>
      <c r="G245" s="15" t="str">
        <f t="shared" si="3"/>
        <v>-</v>
      </c>
    </row>
    <row r="246" spans="1:7" ht="22.5" customHeight="1" x14ac:dyDescent="0.3">
      <c r="A246" s="20" t="s">
        <v>361</v>
      </c>
      <c r="B246" s="10"/>
      <c r="C246" s="29"/>
      <c r="D246" s="10"/>
      <c r="E246" s="10"/>
      <c r="F246" s="12"/>
      <c r="G246" s="15" t="str">
        <f t="shared" si="3"/>
        <v>-</v>
      </c>
    </row>
    <row r="247" spans="1:7" ht="22.5" customHeight="1" x14ac:dyDescent="0.3">
      <c r="A247" s="20" t="s">
        <v>362</v>
      </c>
      <c r="B247" s="10"/>
      <c r="C247" s="29"/>
      <c r="D247" s="10"/>
      <c r="E247" s="10"/>
      <c r="F247" s="12"/>
      <c r="G247" s="15" t="str">
        <f t="shared" si="3"/>
        <v>-</v>
      </c>
    </row>
    <row r="248" spans="1:7" ht="22.5" customHeight="1" x14ac:dyDescent="0.3">
      <c r="A248" s="20" t="s">
        <v>363</v>
      </c>
      <c r="B248" s="10"/>
      <c r="C248" s="29"/>
      <c r="D248" s="10"/>
      <c r="E248" s="10"/>
      <c r="F248" s="12"/>
      <c r="G248" s="15" t="str">
        <f t="shared" si="3"/>
        <v>-</v>
      </c>
    </row>
    <row r="249" spans="1:7" ht="22.5" customHeight="1" x14ac:dyDescent="0.3">
      <c r="A249" s="20" t="s">
        <v>364</v>
      </c>
      <c r="B249" s="10"/>
      <c r="C249" s="29"/>
      <c r="D249" s="10"/>
      <c r="E249" s="10"/>
      <c r="F249" s="12"/>
      <c r="G249" s="15" t="str">
        <f t="shared" si="3"/>
        <v>-</v>
      </c>
    </row>
    <row r="250" spans="1:7" ht="22.5" customHeight="1" x14ac:dyDescent="0.3">
      <c r="A250" s="20" t="s">
        <v>365</v>
      </c>
      <c r="B250" s="10"/>
      <c r="C250" s="29"/>
      <c r="D250" s="10"/>
      <c r="E250" s="10"/>
      <c r="F250" s="12"/>
      <c r="G250" s="15" t="str">
        <f t="shared" si="3"/>
        <v>-</v>
      </c>
    </row>
    <row r="251" spans="1:7" ht="22.5" customHeight="1" x14ac:dyDescent="0.3">
      <c r="A251" s="20" t="s">
        <v>366</v>
      </c>
      <c r="B251" s="10"/>
      <c r="C251" s="29"/>
      <c r="D251" s="10"/>
      <c r="E251" s="10"/>
      <c r="F251" s="12"/>
      <c r="G251" s="15" t="str">
        <f t="shared" si="3"/>
        <v>-</v>
      </c>
    </row>
    <row r="252" spans="1:7" ht="22.5" customHeight="1" x14ac:dyDescent="0.3">
      <c r="A252" s="20" t="s">
        <v>367</v>
      </c>
      <c r="B252" s="10"/>
      <c r="C252" s="29"/>
      <c r="D252" s="10"/>
      <c r="E252" s="10"/>
      <c r="F252" s="12"/>
      <c r="G252" s="15" t="str">
        <f t="shared" si="3"/>
        <v>-</v>
      </c>
    </row>
    <row r="253" spans="1:7" ht="22.5" customHeight="1" x14ac:dyDescent="0.3">
      <c r="A253" s="20" t="s">
        <v>368</v>
      </c>
      <c r="B253" s="10"/>
      <c r="C253" s="29"/>
      <c r="D253" s="10"/>
      <c r="E253" s="10"/>
      <c r="F253" s="12"/>
      <c r="G253" s="15" t="str">
        <f t="shared" si="3"/>
        <v>-</v>
      </c>
    </row>
    <row r="254" spans="1:7" ht="22.5" customHeight="1" x14ac:dyDescent="0.3">
      <c r="A254" s="20" t="s">
        <v>369</v>
      </c>
      <c r="B254" s="10"/>
      <c r="C254" s="29"/>
      <c r="D254" s="10"/>
      <c r="E254" s="10"/>
      <c r="F254" s="12"/>
      <c r="G254" s="15" t="str">
        <f t="shared" si="3"/>
        <v>-</v>
      </c>
    </row>
    <row r="255" spans="1:7" ht="22.5" customHeight="1" x14ac:dyDescent="0.3">
      <c r="A255" s="20" t="s">
        <v>370</v>
      </c>
      <c r="B255" s="10"/>
      <c r="C255" s="29"/>
      <c r="D255" s="10"/>
      <c r="E255" s="10"/>
      <c r="F255" s="12"/>
      <c r="G255" s="15" t="str">
        <f t="shared" si="3"/>
        <v>-</v>
      </c>
    </row>
    <row r="256" spans="1:7" ht="22.5" customHeight="1" x14ac:dyDescent="0.3">
      <c r="A256" s="20" t="s">
        <v>371</v>
      </c>
      <c r="B256" s="10"/>
      <c r="C256" s="29"/>
      <c r="D256" s="10"/>
      <c r="E256" s="10"/>
      <c r="F256" s="12"/>
      <c r="G256" s="15" t="str">
        <f t="shared" si="3"/>
        <v>-</v>
      </c>
    </row>
    <row r="257" spans="1:7" ht="22.5" customHeight="1" x14ac:dyDescent="0.3">
      <c r="A257" s="20" t="s">
        <v>372</v>
      </c>
      <c r="B257" s="10"/>
      <c r="C257" s="29"/>
      <c r="D257" s="10"/>
      <c r="E257" s="10"/>
      <c r="F257" s="12"/>
      <c r="G257" s="15" t="str">
        <f t="shared" si="3"/>
        <v>-</v>
      </c>
    </row>
    <row r="258" spans="1:7" ht="22.5" customHeight="1" x14ac:dyDescent="0.3">
      <c r="A258" s="20" t="s">
        <v>373</v>
      </c>
      <c r="B258" s="10"/>
      <c r="C258" s="29"/>
      <c r="D258" s="10"/>
      <c r="E258" s="10"/>
      <c r="F258" s="12"/>
      <c r="G258" s="15" t="str">
        <f t="shared" ref="G258:G321" si="4">IFERROR(F258/D258, "-")</f>
        <v>-</v>
      </c>
    </row>
    <row r="259" spans="1:7" ht="22.5" customHeight="1" x14ac:dyDescent="0.3">
      <c r="A259" s="20" t="s">
        <v>374</v>
      </c>
      <c r="B259" s="10"/>
      <c r="C259" s="29"/>
      <c r="D259" s="10"/>
      <c r="E259" s="10"/>
      <c r="F259" s="12"/>
      <c r="G259" s="15" t="str">
        <f t="shared" si="4"/>
        <v>-</v>
      </c>
    </row>
    <row r="260" spans="1:7" ht="22.5" customHeight="1" x14ac:dyDescent="0.3">
      <c r="A260" s="20" t="s">
        <v>375</v>
      </c>
      <c r="B260" s="10"/>
      <c r="C260" s="29"/>
      <c r="D260" s="10"/>
      <c r="E260" s="10"/>
      <c r="F260" s="12"/>
      <c r="G260" s="15" t="str">
        <f t="shared" si="4"/>
        <v>-</v>
      </c>
    </row>
    <row r="261" spans="1:7" ht="22.5" customHeight="1" x14ac:dyDescent="0.3">
      <c r="A261" s="20" t="s">
        <v>376</v>
      </c>
      <c r="B261" s="10"/>
      <c r="C261" s="29"/>
      <c r="D261" s="10"/>
      <c r="E261" s="10"/>
      <c r="F261" s="12"/>
      <c r="G261" s="15" t="str">
        <f t="shared" si="4"/>
        <v>-</v>
      </c>
    </row>
    <row r="262" spans="1:7" ht="22.5" customHeight="1" x14ac:dyDescent="0.3">
      <c r="A262" s="20" t="s">
        <v>377</v>
      </c>
      <c r="B262" s="10"/>
      <c r="C262" s="29"/>
      <c r="D262" s="10"/>
      <c r="E262" s="10"/>
      <c r="F262" s="12"/>
      <c r="G262" s="15" t="str">
        <f t="shared" si="4"/>
        <v>-</v>
      </c>
    </row>
    <row r="263" spans="1:7" ht="22.5" customHeight="1" x14ac:dyDescent="0.3">
      <c r="A263" s="20" t="s">
        <v>378</v>
      </c>
      <c r="B263" s="10"/>
      <c r="C263" s="29"/>
      <c r="D263" s="10"/>
      <c r="E263" s="10"/>
      <c r="F263" s="12"/>
      <c r="G263" s="15" t="str">
        <f t="shared" si="4"/>
        <v>-</v>
      </c>
    </row>
    <row r="264" spans="1:7" ht="22.5" customHeight="1" x14ac:dyDescent="0.3">
      <c r="A264" s="20" t="s">
        <v>379</v>
      </c>
      <c r="B264" s="10"/>
      <c r="C264" s="29"/>
      <c r="D264" s="10"/>
      <c r="E264" s="10"/>
      <c r="F264" s="12"/>
      <c r="G264" s="15" t="str">
        <f t="shared" si="4"/>
        <v>-</v>
      </c>
    </row>
    <row r="265" spans="1:7" ht="22.5" customHeight="1" x14ac:dyDescent="0.3">
      <c r="A265" s="20" t="s">
        <v>380</v>
      </c>
      <c r="B265" s="10"/>
      <c r="C265" s="29"/>
      <c r="D265" s="10"/>
      <c r="E265" s="10"/>
      <c r="F265" s="12"/>
      <c r="G265" s="15" t="str">
        <f t="shared" si="4"/>
        <v>-</v>
      </c>
    </row>
    <row r="266" spans="1:7" ht="22.5" customHeight="1" x14ac:dyDescent="0.3">
      <c r="A266" s="20"/>
      <c r="B266" s="10"/>
      <c r="C266" s="29"/>
      <c r="D266" s="10"/>
      <c r="E266" s="10"/>
      <c r="F266" s="12"/>
      <c r="G266" s="15" t="str">
        <f t="shared" si="4"/>
        <v>-</v>
      </c>
    </row>
    <row r="267" spans="1:7" ht="22.5" customHeight="1" x14ac:dyDescent="0.3">
      <c r="A267" s="20" t="s">
        <v>381</v>
      </c>
      <c r="B267" s="10"/>
      <c r="C267" s="29"/>
      <c r="D267" s="10"/>
      <c r="E267" s="10"/>
      <c r="F267" s="12"/>
      <c r="G267" s="15" t="str">
        <f t="shared" si="4"/>
        <v>-</v>
      </c>
    </row>
    <row r="268" spans="1:7" ht="22.5" customHeight="1" x14ac:dyDescent="0.3">
      <c r="A268" s="20" t="s">
        <v>382</v>
      </c>
      <c r="B268" s="10"/>
      <c r="C268" s="29"/>
      <c r="D268" s="10"/>
      <c r="E268" s="10"/>
      <c r="F268" s="12"/>
      <c r="G268" s="15" t="str">
        <f t="shared" si="4"/>
        <v>-</v>
      </c>
    </row>
    <row r="269" spans="1:7" ht="22.5" customHeight="1" x14ac:dyDescent="0.3">
      <c r="A269" s="20" t="s">
        <v>383</v>
      </c>
      <c r="B269" s="10"/>
      <c r="C269" s="29"/>
      <c r="D269" s="10"/>
      <c r="E269" s="10"/>
      <c r="F269" s="12"/>
      <c r="G269" s="15" t="str">
        <f t="shared" si="4"/>
        <v>-</v>
      </c>
    </row>
    <row r="270" spans="1:7" ht="22.5" customHeight="1" x14ac:dyDescent="0.3">
      <c r="A270" s="20" t="s">
        <v>384</v>
      </c>
      <c r="B270" s="10"/>
      <c r="C270" s="29"/>
      <c r="D270" s="10"/>
      <c r="E270" s="10"/>
      <c r="F270" s="12"/>
      <c r="G270" s="15" t="str">
        <f t="shared" si="4"/>
        <v>-</v>
      </c>
    </row>
    <row r="271" spans="1:7" ht="22.5" customHeight="1" x14ac:dyDescent="0.3">
      <c r="A271" s="58" t="s">
        <v>385</v>
      </c>
      <c r="B271" s="10"/>
      <c r="C271" s="29"/>
      <c r="D271" s="10"/>
      <c r="E271" s="10"/>
      <c r="F271" s="12"/>
      <c r="G271" s="15" t="str">
        <f t="shared" si="4"/>
        <v>-</v>
      </c>
    </row>
    <row r="272" spans="1:7" ht="22.5" customHeight="1" x14ac:dyDescent="0.3">
      <c r="A272" s="58" t="s">
        <v>386</v>
      </c>
      <c r="B272" s="10"/>
      <c r="C272" s="29"/>
      <c r="D272" s="10"/>
      <c r="E272" s="10"/>
      <c r="F272" s="12"/>
      <c r="G272" s="15" t="str">
        <f t="shared" si="4"/>
        <v>-</v>
      </c>
    </row>
    <row r="273" spans="1:7" ht="22.5" customHeight="1" x14ac:dyDescent="0.3">
      <c r="A273" s="58" t="s">
        <v>387</v>
      </c>
      <c r="B273" s="10"/>
      <c r="C273" s="29"/>
      <c r="D273" s="10"/>
      <c r="E273" s="10"/>
      <c r="F273" s="12"/>
      <c r="G273" s="15" t="str">
        <f t="shared" si="4"/>
        <v>-</v>
      </c>
    </row>
    <row r="274" spans="1:7" ht="22.5" customHeight="1" x14ac:dyDescent="0.3">
      <c r="A274" s="58" t="s">
        <v>388</v>
      </c>
      <c r="B274" s="10"/>
      <c r="C274" s="29"/>
      <c r="D274" s="10"/>
      <c r="E274" s="10"/>
      <c r="F274" s="12"/>
      <c r="G274" s="15" t="str">
        <f t="shared" si="4"/>
        <v>-</v>
      </c>
    </row>
    <row r="275" spans="1:7" ht="22.5" customHeight="1" x14ac:dyDescent="0.3">
      <c r="A275" s="58" t="s">
        <v>389</v>
      </c>
      <c r="B275" s="10"/>
      <c r="C275" s="29"/>
      <c r="D275" s="10"/>
      <c r="E275" s="10"/>
      <c r="F275" s="12"/>
      <c r="G275" s="15" t="str">
        <f t="shared" si="4"/>
        <v>-</v>
      </c>
    </row>
    <row r="276" spans="1:7" ht="22.5" customHeight="1" x14ac:dyDescent="0.3">
      <c r="A276" s="58" t="s">
        <v>390</v>
      </c>
      <c r="B276" s="10"/>
      <c r="C276" s="29"/>
      <c r="D276" s="10"/>
      <c r="E276" s="10"/>
      <c r="F276" s="12"/>
      <c r="G276" s="15" t="str">
        <f t="shared" si="4"/>
        <v>-</v>
      </c>
    </row>
    <row r="277" spans="1:7" ht="22.5" customHeight="1" x14ac:dyDescent="0.3">
      <c r="A277" s="58" t="s">
        <v>391</v>
      </c>
      <c r="B277" s="10"/>
      <c r="C277" s="29"/>
      <c r="D277" s="10"/>
      <c r="E277" s="10"/>
      <c r="F277" s="12"/>
      <c r="G277" s="15" t="str">
        <f t="shared" si="4"/>
        <v>-</v>
      </c>
    </row>
    <row r="278" spans="1:7" ht="22.5" customHeight="1" x14ac:dyDescent="0.3">
      <c r="A278" s="58" t="s">
        <v>392</v>
      </c>
      <c r="B278" s="10"/>
      <c r="C278" s="29"/>
      <c r="D278" s="10"/>
      <c r="E278" s="10"/>
      <c r="F278" s="12"/>
      <c r="G278" s="15" t="str">
        <f t="shared" si="4"/>
        <v>-</v>
      </c>
    </row>
    <row r="279" spans="1:7" ht="22.5" customHeight="1" x14ac:dyDescent="0.3">
      <c r="A279" s="58" t="s">
        <v>393</v>
      </c>
      <c r="B279" s="10"/>
      <c r="C279" s="29"/>
      <c r="D279" s="10"/>
      <c r="E279" s="10"/>
      <c r="F279" s="12"/>
      <c r="G279" s="15" t="str">
        <f t="shared" si="4"/>
        <v>-</v>
      </c>
    </row>
    <row r="280" spans="1:7" ht="22.5" customHeight="1" x14ac:dyDescent="0.3">
      <c r="A280" s="58" t="s">
        <v>394</v>
      </c>
      <c r="B280" s="10"/>
      <c r="C280" s="29"/>
      <c r="D280" s="10"/>
      <c r="E280" s="10"/>
      <c r="F280" s="12"/>
      <c r="G280" s="15" t="str">
        <f t="shared" si="4"/>
        <v>-</v>
      </c>
    </row>
    <row r="281" spans="1:7" ht="22.5" customHeight="1" x14ac:dyDescent="0.3">
      <c r="A281" s="58" t="s">
        <v>395</v>
      </c>
      <c r="B281" s="10"/>
      <c r="C281" s="29"/>
      <c r="D281" s="10"/>
      <c r="E281" s="10"/>
      <c r="F281" s="12"/>
      <c r="G281" s="15" t="str">
        <f t="shared" si="4"/>
        <v>-</v>
      </c>
    </row>
    <row r="282" spans="1:7" ht="22.5" customHeight="1" x14ac:dyDescent="0.3">
      <c r="A282" s="58" t="s">
        <v>396</v>
      </c>
      <c r="B282" s="10"/>
      <c r="C282" s="29"/>
      <c r="D282" s="10"/>
      <c r="E282" s="10"/>
      <c r="F282" s="12"/>
      <c r="G282" s="15" t="str">
        <f t="shared" si="4"/>
        <v>-</v>
      </c>
    </row>
    <row r="283" spans="1:7" ht="22.5" customHeight="1" x14ac:dyDescent="0.3">
      <c r="A283" s="58" t="s">
        <v>397</v>
      </c>
      <c r="B283" s="10"/>
      <c r="C283" s="29"/>
      <c r="D283" s="10"/>
      <c r="E283" s="10"/>
      <c r="F283" s="12"/>
      <c r="G283" s="15" t="str">
        <f t="shared" si="4"/>
        <v>-</v>
      </c>
    </row>
    <row r="284" spans="1:7" ht="16.5" x14ac:dyDescent="0.3">
      <c r="A284" s="58"/>
      <c r="B284" s="10"/>
      <c r="C284" s="29"/>
      <c r="D284" s="29"/>
      <c r="E284" s="29"/>
      <c r="F284" s="59"/>
      <c r="G284" s="60" t="str">
        <f t="shared" si="4"/>
        <v>-</v>
      </c>
    </row>
    <row r="285" spans="1:7" ht="16.5" x14ac:dyDescent="0.3">
      <c r="A285" s="58"/>
      <c r="B285" s="10"/>
      <c r="C285" s="29"/>
      <c r="D285" s="29"/>
      <c r="E285" s="29"/>
      <c r="F285" s="59"/>
      <c r="G285" s="60" t="str">
        <f t="shared" si="4"/>
        <v>-</v>
      </c>
    </row>
    <row r="286" spans="1:7" ht="16.5" x14ac:dyDescent="0.3">
      <c r="A286" s="58"/>
      <c r="B286" s="10"/>
      <c r="C286" s="29"/>
      <c r="D286" s="29"/>
      <c r="E286" s="29"/>
      <c r="F286" s="59"/>
      <c r="G286" s="60" t="str">
        <f t="shared" si="4"/>
        <v>-</v>
      </c>
    </row>
    <row r="287" spans="1:7" ht="16.5" x14ac:dyDescent="0.3">
      <c r="A287" s="58"/>
      <c r="B287" s="10"/>
      <c r="C287" s="29"/>
      <c r="D287" s="29"/>
      <c r="E287" s="29"/>
      <c r="F287" s="59"/>
      <c r="G287" s="60" t="str">
        <f t="shared" si="4"/>
        <v>-</v>
      </c>
    </row>
    <row r="288" spans="1:7" ht="16.5" x14ac:dyDescent="0.3">
      <c r="A288" s="58"/>
      <c r="B288" s="10"/>
      <c r="C288" s="29"/>
      <c r="D288" s="29"/>
      <c r="E288" s="29"/>
      <c r="F288" s="59"/>
      <c r="G288" s="60" t="str">
        <f t="shared" si="4"/>
        <v>-</v>
      </c>
    </row>
    <row r="289" spans="1:7" ht="16.5" x14ac:dyDescent="0.3">
      <c r="A289" s="58"/>
      <c r="B289" s="10"/>
      <c r="C289" s="29"/>
      <c r="D289" s="29"/>
      <c r="E289" s="29"/>
      <c r="F289" s="59"/>
      <c r="G289" s="60" t="str">
        <f t="shared" si="4"/>
        <v>-</v>
      </c>
    </row>
    <row r="290" spans="1:7" ht="16.5" x14ac:dyDescent="0.3">
      <c r="A290" s="58"/>
      <c r="B290" s="10"/>
      <c r="C290" s="29"/>
      <c r="D290" s="29"/>
      <c r="E290" s="29"/>
      <c r="F290" s="59"/>
      <c r="G290" s="60" t="str">
        <f t="shared" si="4"/>
        <v>-</v>
      </c>
    </row>
    <row r="291" spans="1:7" ht="16.5" x14ac:dyDescent="0.3">
      <c r="A291" s="58"/>
      <c r="B291" s="10"/>
      <c r="C291" s="29"/>
      <c r="D291" s="29"/>
      <c r="E291" s="29"/>
      <c r="F291" s="59"/>
      <c r="G291" s="60" t="str">
        <f t="shared" si="4"/>
        <v>-</v>
      </c>
    </row>
    <row r="292" spans="1:7" ht="16.5" x14ac:dyDescent="0.3">
      <c r="A292" s="58"/>
      <c r="B292" s="10"/>
      <c r="C292" s="29"/>
      <c r="D292" s="29"/>
      <c r="E292" s="29"/>
      <c r="F292" s="59"/>
      <c r="G292" s="60" t="str">
        <f t="shared" si="4"/>
        <v>-</v>
      </c>
    </row>
    <row r="293" spans="1:7" ht="16.5" x14ac:dyDescent="0.3">
      <c r="A293" s="58"/>
      <c r="B293" s="10"/>
      <c r="C293" s="29"/>
      <c r="D293" s="29"/>
      <c r="E293" s="29"/>
      <c r="F293" s="59"/>
      <c r="G293" s="60" t="str">
        <f t="shared" si="4"/>
        <v>-</v>
      </c>
    </row>
    <row r="294" spans="1:7" ht="16.5" x14ac:dyDescent="0.3">
      <c r="A294" s="58"/>
      <c r="B294" s="10"/>
      <c r="C294" s="29"/>
      <c r="D294" s="29"/>
      <c r="E294" s="29"/>
      <c r="F294" s="59"/>
      <c r="G294" s="60" t="str">
        <f t="shared" si="4"/>
        <v>-</v>
      </c>
    </row>
    <row r="295" spans="1:7" ht="16.5" x14ac:dyDescent="0.3">
      <c r="A295" s="58"/>
      <c r="B295" s="10"/>
      <c r="C295" s="29"/>
      <c r="D295" s="29"/>
      <c r="E295" s="29"/>
      <c r="F295" s="59"/>
      <c r="G295" s="60" t="str">
        <f t="shared" si="4"/>
        <v>-</v>
      </c>
    </row>
    <row r="296" spans="1:7" ht="16.5" x14ac:dyDescent="0.3">
      <c r="A296" s="58"/>
      <c r="B296" s="10"/>
      <c r="C296" s="29"/>
      <c r="D296" s="29"/>
      <c r="E296" s="29"/>
      <c r="F296" s="59"/>
      <c r="G296" s="60" t="str">
        <f t="shared" si="4"/>
        <v>-</v>
      </c>
    </row>
    <row r="297" spans="1:7" ht="16.5" x14ac:dyDescent="0.3">
      <c r="A297" s="58"/>
      <c r="B297" s="10"/>
      <c r="C297" s="29"/>
      <c r="D297" s="29"/>
      <c r="E297" s="29"/>
      <c r="F297" s="59"/>
      <c r="G297" s="60" t="str">
        <f t="shared" si="4"/>
        <v>-</v>
      </c>
    </row>
    <row r="298" spans="1:7" ht="16.5" x14ac:dyDescent="0.3">
      <c r="A298" s="58"/>
      <c r="B298" s="10"/>
      <c r="C298" s="29"/>
      <c r="D298" s="29"/>
      <c r="E298" s="29"/>
      <c r="F298" s="59"/>
      <c r="G298" s="60" t="str">
        <f t="shared" si="4"/>
        <v>-</v>
      </c>
    </row>
    <row r="299" spans="1:7" ht="16.5" x14ac:dyDescent="0.3">
      <c r="A299" s="58"/>
      <c r="B299" s="10"/>
      <c r="C299" s="29"/>
      <c r="D299" s="29"/>
      <c r="E299" s="29"/>
      <c r="F299" s="59"/>
      <c r="G299" s="60" t="str">
        <f t="shared" si="4"/>
        <v>-</v>
      </c>
    </row>
    <row r="300" spans="1:7" ht="16.5" x14ac:dyDescent="0.3">
      <c r="A300" s="58"/>
      <c r="B300" s="10"/>
      <c r="C300" s="29"/>
      <c r="D300" s="29"/>
      <c r="E300" s="29"/>
      <c r="F300" s="59"/>
      <c r="G300" s="60" t="str">
        <f t="shared" si="4"/>
        <v>-</v>
      </c>
    </row>
    <row r="301" spans="1:7" ht="16.5" x14ac:dyDescent="0.3">
      <c r="A301" s="58"/>
      <c r="B301" s="10"/>
      <c r="C301" s="29"/>
      <c r="D301" s="29"/>
      <c r="E301" s="29"/>
      <c r="F301" s="59"/>
      <c r="G301" s="60" t="str">
        <f t="shared" si="4"/>
        <v>-</v>
      </c>
    </row>
    <row r="302" spans="1:7" ht="16.5" x14ac:dyDescent="0.3">
      <c r="A302" s="58"/>
      <c r="B302" s="10"/>
      <c r="C302" s="29"/>
      <c r="D302" s="29"/>
      <c r="E302" s="29"/>
      <c r="F302" s="59"/>
      <c r="G302" s="60" t="str">
        <f t="shared" si="4"/>
        <v>-</v>
      </c>
    </row>
    <row r="303" spans="1:7" ht="16.5" x14ac:dyDescent="0.3">
      <c r="A303" s="58"/>
      <c r="B303" s="10"/>
      <c r="C303" s="29"/>
      <c r="D303" s="29"/>
      <c r="E303" s="29"/>
      <c r="F303" s="59"/>
      <c r="G303" s="60" t="str">
        <f t="shared" si="4"/>
        <v>-</v>
      </c>
    </row>
    <row r="304" spans="1:7" ht="16.5" x14ac:dyDescent="0.3">
      <c r="A304" s="58"/>
      <c r="B304" s="10"/>
      <c r="C304" s="29"/>
      <c r="D304" s="29"/>
      <c r="E304" s="29"/>
      <c r="F304" s="59"/>
      <c r="G304" s="60" t="str">
        <f t="shared" si="4"/>
        <v>-</v>
      </c>
    </row>
    <row r="305" spans="1:7" ht="16.5" x14ac:dyDescent="0.3">
      <c r="A305" s="58"/>
      <c r="B305" s="10"/>
      <c r="C305" s="29"/>
      <c r="D305" s="29"/>
      <c r="E305" s="29"/>
      <c r="F305" s="59"/>
      <c r="G305" s="60" t="str">
        <f t="shared" si="4"/>
        <v>-</v>
      </c>
    </row>
    <row r="306" spans="1:7" ht="16.5" x14ac:dyDescent="0.3">
      <c r="A306" s="58"/>
      <c r="B306" s="10"/>
      <c r="C306" s="29"/>
      <c r="D306" s="29"/>
      <c r="E306" s="29"/>
      <c r="F306" s="59"/>
      <c r="G306" s="60" t="str">
        <f t="shared" si="4"/>
        <v>-</v>
      </c>
    </row>
    <row r="307" spans="1:7" ht="16.5" x14ac:dyDescent="0.3">
      <c r="A307" s="58"/>
      <c r="B307" s="10"/>
      <c r="C307" s="29"/>
      <c r="D307" s="29"/>
      <c r="E307" s="29"/>
      <c r="F307" s="59"/>
      <c r="G307" s="60" t="str">
        <f t="shared" si="4"/>
        <v>-</v>
      </c>
    </row>
    <row r="308" spans="1:7" ht="16.5" x14ac:dyDescent="0.3">
      <c r="A308" s="58"/>
      <c r="B308" s="10"/>
      <c r="C308" s="29"/>
      <c r="D308" s="29"/>
      <c r="E308" s="29"/>
      <c r="F308" s="59"/>
      <c r="G308" s="60" t="str">
        <f t="shared" si="4"/>
        <v>-</v>
      </c>
    </row>
    <row r="309" spans="1:7" ht="16.5" x14ac:dyDescent="0.3">
      <c r="A309" s="58"/>
      <c r="B309" s="10"/>
      <c r="C309" s="29"/>
      <c r="D309" s="29"/>
      <c r="E309" s="29"/>
      <c r="F309" s="59"/>
      <c r="G309" s="60" t="str">
        <f t="shared" si="4"/>
        <v>-</v>
      </c>
    </row>
    <row r="310" spans="1:7" ht="16.5" x14ac:dyDescent="0.3">
      <c r="A310" s="58"/>
      <c r="B310" s="10"/>
      <c r="C310" s="29"/>
      <c r="D310" s="29"/>
      <c r="E310" s="29"/>
      <c r="F310" s="59"/>
      <c r="G310" s="60" t="str">
        <f t="shared" si="4"/>
        <v>-</v>
      </c>
    </row>
    <row r="311" spans="1:7" ht="16.5" x14ac:dyDescent="0.3">
      <c r="A311" s="58"/>
      <c r="B311" s="10"/>
      <c r="C311" s="29"/>
      <c r="D311" s="29"/>
      <c r="E311" s="29"/>
      <c r="F311" s="59"/>
      <c r="G311" s="60" t="str">
        <f t="shared" si="4"/>
        <v>-</v>
      </c>
    </row>
    <row r="312" spans="1:7" ht="16.5" x14ac:dyDescent="0.3">
      <c r="A312" s="58"/>
      <c r="B312" s="10"/>
      <c r="C312" s="29"/>
      <c r="D312" s="29"/>
      <c r="E312" s="29"/>
      <c r="F312" s="59"/>
      <c r="G312" s="60" t="str">
        <f t="shared" si="4"/>
        <v>-</v>
      </c>
    </row>
    <row r="313" spans="1:7" ht="16.5" x14ac:dyDescent="0.3">
      <c r="A313" s="58"/>
      <c r="B313" s="10"/>
      <c r="C313" s="29"/>
      <c r="D313" s="29"/>
      <c r="E313" s="29"/>
      <c r="F313" s="59"/>
      <c r="G313" s="60" t="str">
        <f t="shared" si="4"/>
        <v>-</v>
      </c>
    </row>
  </sheetData>
  <dataValidations count="3">
    <dataValidation type="list" allowBlank="1" showErrorMessage="1" sqref="E2:E313" xr:uid="{00000000-0002-0000-0100-000000000000}">
      <formula1>"Grs,Ml ,Un"</formula1>
    </dataValidation>
    <dataValidation type="list" allowBlank="1" showErrorMessage="1" sqref="B2:B313" xr:uid="{00000000-0002-0000-0100-000001000000}">
      <formula1>"Insumos ,Hora hombre ,Packaging,Descartable "</formula1>
    </dataValidation>
    <dataValidation type="custom" allowBlank="1" showDropDown="1" sqref="D2:D283 F2:G283" xr:uid="{00000000-0002-0000-0100-000003000000}">
      <formula1>AND(ISNUMBER(D2),(NOT(OR(NOT(ISERROR(DATEVALUE(D2))), AND(ISNUMBER(D2), LEFT(CELL("format", D2))="D")))))</formula1>
    </dataValidation>
  </dataValidations>
  <pageMargins left="0.75" right="0.75" top="1" bottom="1" header="0.5" footer="0.5"/>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00000000-000E-0000-0100-000001000000}">
            <xm:f>AND($A2&lt;&gt;"",COUNTIF(Recetas!$A$1:$A$400,$A2)&gt;0,OR($D2="",$F2="",$G2="-"))</xm:f>
            <x14:dxf>
              <font>
                <color rgb="FFC5311A"/>
              </font>
              <fill>
                <patternFill patternType="solid">
                  <fgColor rgb="FFFBE7E4"/>
                  <bgColor rgb="FFFBE7E4"/>
                </patternFill>
              </fill>
            </x14:dxf>
          </x14:cfRule>
          <xm:sqref>G2:G313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321"/>
  <sheetViews>
    <sheetView showGridLines="0" workbookViewId="0"/>
  </sheetViews>
  <sheetFormatPr baseColWidth="10" defaultColWidth="12.5703125" defaultRowHeight="15.75" customHeight="1" x14ac:dyDescent="0.2"/>
  <cols>
    <col min="1" max="1" width="28.85546875" customWidth="1"/>
    <col min="2" max="5" width="11.140625" customWidth="1"/>
    <col min="6" max="6" width="18" customWidth="1"/>
    <col min="7" max="8" width="11.140625" customWidth="1"/>
    <col min="9" max="9" width="9" customWidth="1"/>
    <col min="11" max="11" width="18" customWidth="1"/>
  </cols>
  <sheetData>
    <row r="1" spans="1:10" ht="18" x14ac:dyDescent="0.25">
      <c r="A1" s="83" t="s">
        <v>398</v>
      </c>
      <c r="B1" s="84"/>
      <c r="C1" s="84"/>
      <c r="D1" s="84"/>
      <c r="E1" s="84"/>
      <c r="F1" s="84"/>
      <c r="G1" s="84"/>
      <c r="H1" s="84"/>
      <c r="I1" s="84"/>
      <c r="J1" s="84"/>
    </row>
    <row r="3" spans="1:10" ht="12.75" x14ac:dyDescent="0.2">
      <c r="A3" s="77" t="s">
        <v>399</v>
      </c>
      <c r="B3" s="68"/>
      <c r="C3" s="68"/>
      <c r="D3" s="68"/>
      <c r="E3" s="68"/>
      <c r="F3" s="68"/>
      <c r="G3" s="68"/>
      <c r="H3" s="69"/>
    </row>
    <row r="4" spans="1:10" ht="12.75" x14ac:dyDescent="0.2">
      <c r="A4" s="5" t="s">
        <v>400</v>
      </c>
      <c r="B4" s="82"/>
      <c r="C4" s="68"/>
      <c r="D4" s="68"/>
      <c r="E4" s="77" t="s">
        <v>401</v>
      </c>
      <c r="F4" s="69"/>
      <c r="G4" s="78">
        <v>0</v>
      </c>
      <c r="H4" s="69"/>
    </row>
    <row r="5" spans="1:10" ht="12.75" x14ac:dyDescent="0.2">
      <c r="A5" s="5" t="s">
        <v>27</v>
      </c>
      <c r="B5" s="79"/>
      <c r="C5" s="80"/>
      <c r="D5" s="81"/>
      <c r="E5" s="77" t="s">
        <v>402</v>
      </c>
      <c r="F5" s="69"/>
      <c r="G5" s="75">
        <f>E15</f>
        <v>0</v>
      </c>
      <c r="H5" s="69"/>
    </row>
    <row r="6" spans="1:10" ht="12.75" x14ac:dyDescent="0.2">
      <c r="A6" s="5" t="s">
        <v>403</v>
      </c>
      <c r="B6" s="76" t="s">
        <v>404</v>
      </c>
      <c r="C6" s="68"/>
      <c r="D6" s="69"/>
      <c r="E6" s="77" t="s">
        <v>35</v>
      </c>
      <c r="F6" s="69"/>
      <c r="G6" s="77">
        <f>IFERROR(G5/B6, 0)</f>
        <v>0</v>
      </c>
      <c r="H6" s="69"/>
    </row>
    <row r="7" spans="1:10" ht="30.75" customHeight="1" x14ac:dyDescent="0.2">
      <c r="A7" s="17" t="s">
        <v>405</v>
      </c>
      <c r="B7" s="17" t="s">
        <v>406</v>
      </c>
      <c r="C7" s="17" t="s">
        <v>41</v>
      </c>
      <c r="D7" s="17" t="s">
        <v>407</v>
      </c>
      <c r="E7" s="17" t="s">
        <v>408</v>
      </c>
      <c r="F7" s="17" t="s">
        <v>47</v>
      </c>
      <c r="G7" s="17" t="s">
        <v>409</v>
      </c>
      <c r="H7" s="17" t="s">
        <v>410</v>
      </c>
      <c r="I7" s="17" t="s">
        <v>411</v>
      </c>
    </row>
    <row r="8" spans="1:10" ht="12.75" x14ac:dyDescent="0.2">
      <c r="A8" s="22"/>
      <c r="B8" s="24">
        <f t="shared" ref="B8:B14" si="0">E8/(100%-C8)</f>
        <v>0</v>
      </c>
      <c r="C8" s="26">
        <f>IF(I8="Un",0,IFERROR(VLOOKUP(A8,'Mermas por producto'!$A$2:$B$313,2,0),0))</f>
        <v>0</v>
      </c>
      <c r="D8" s="28">
        <f t="shared" ref="D8:D14" si="1">B8*C8</f>
        <v>0</v>
      </c>
      <c r="E8" s="29"/>
      <c r="F8" s="63" t="str">
        <f>IFERROR(VLOOKUP(A8,'Insumos '!A:G,7,0),"")</f>
        <v/>
      </c>
      <c r="G8" s="30">
        <f t="shared" ref="G8:G14" si="2">IFERROR(B8*F8, 0)</f>
        <v>0</v>
      </c>
      <c r="H8" s="31">
        <f t="shared" ref="H8:H14" si="3">IFERROR(G8/$G$15, 0)</f>
        <v>0</v>
      </c>
      <c r="I8" s="64" t="str">
        <f>IFERROR(TRIM(VLOOKUP(A8,'Insumos '!$A$2:$E$313,5,0)&amp;""),"")</f>
        <v/>
      </c>
    </row>
    <row r="9" spans="1:10" ht="12.75" x14ac:dyDescent="0.2">
      <c r="A9" s="22"/>
      <c r="B9" s="24">
        <f t="shared" si="0"/>
        <v>0</v>
      </c>
      <c r="C9" s="26">
        <f>IF(I9="Un",0,IFERROR(VLOOKUP(A9,'Mermas por producto'!$A$2:$B$313,2,0),0))</f>
        <v>0</v>
      </c>
      <c r="D9" s="28">
        <f t="shared" si="1"/>
        <v>0</v>
      </c>
      <c r="E9" s="29"/>
      <c r="F9" s="63" t="str">
        <f>IFERROR(VLOOKUP(A9,'Insumos '!A:G,7,0),"")</f>
        <v/>
      </c>
      <c r="G9" s="30">
        <f t="shared" si="2"/>
        <v>0</v>
      </c>
      <c r="H9" s="31">
        <f t="shared" si="3"/>
        <v>0</v>
      </c>
      <c r="I9" s="64" t="str">
        <f>IFERROR(TRIM(VLOOKUP(A9,'Insumos '!$A$2:$E$313,5,0)&amp;""),"")</f>
        <v/>
      </c>
    </row>
    <row r="10" spans="1:10" ht="12.75" x14ac:dyDescent="0.2">
      <c r="A10" s="22"/>
      <c r="B10" s="24">
        <f t="shared" si="0"/>
        <v>0</v>
      </c>
      <c r="C10" s="26">
        <f>IF(I10="Un",0,IFERROR(VLOOKUP(A10,'Mermas por producto'!$A$2:$B$313,2,0),0))</f>
        <v>0</v>
      </c>
      <c r="D10" s="28">
        <f t="shared" si="1"/>
        <v>0</v>
      </c>
      <c r="E10" s="29"/>
      <c r="F10" s="63" t="str">
        <f>IFERROR(VLOOKUP(A10,'Insumos '!A:G,7,0),"")</f>
        <v/>
      </c>
      <c r="G10" s="30">
        <f t="shared" si="2"/>
        <v>0</v>
      </c>
      <c r="H10" s="31">
        <f t="shared" si="3"/>
        <v>0</v>
      </c>
      <c r="I10" s="64" t="str">
        <f>IFERROR(TRIM(VLOOKUP(A10,'Insumos '!$A$2:$E$313,5,0)&amp;""),"")</f>
        <v/>
      </c>
    </row>
    <row r="11" spans="1:10" ht="12.75" x14ac:dyDescent="0.2">
      <c r="A11" s="22"/>
      <c r="B11" s="24">
        <f t="shared" si="0"/>
        <v>0</v>
      </c>
      <c r="C11" s="26">
        <f>IF(I11="Un",0,IFERROR(VLOOKUP(A11,'Mermas por producto'!$A$2:$B$313,2,0),0))</f>
        <v>0</v>
      </c>
      <c r="D11" s="28">
        <f t="shared" si="1"/>
        <v>0</v>
      </c>
      <c r="E11" s="29"/>
      <c r="F11" s="63" t="str">
        <f>IFERROR(VLOOKUP(A11,'Insumos '!A:G,7,0),"")</f>
        <v/>
      </c>
      <c r="G11" s="30">
        <f t="shared" si="2"/>
        <v>0</v>
      </c>
      <c r="H11" s="31">
        <f t="shared" si="3"/>
        <v>0</v>
      </c>
      <c r="I11" s="64" t="str">
        <f>IFERROR(TRIM(VLOOKUP(A11,'Insumos '!$A$2:$E$313,5,0)&amp;""),"")</f>
        <v/>
      </c>
    </row>
    <row r="12" spans="1:10" ht="12.75" x14ac:dyDescent="0.2">
      <c r="A12" s="22"/>
      <c r="B12" s="24">
        <f t="shared" si="0"/>
        <v>0</v>
      </c>
      <c r="C12" s="26">
        <f>IF(I12="Un",0,IFERROR(VLOOKUP(A12,'Mermas por producto'!$A$2:$B$313,2,0),0))</f>
        <v>0</v>
      </c>
      <c r="D12" s="28">
        <f t="shared" si="1"/>
        <v>0</v>
      </c>
      <c r="E12" s="29"/>
      <c r="F12" s="63" t="str">
        <f>IFERROR(VLOOKUP(A12,'Insumos '!A:G,7,0),"")</f>
        <v/>
      </c>
      <c r="G12" s="30">
        <f t="shared" si="2"/>
        <v>0</v>
      </c>
      <c r="H12" s="31">
        <f t="shared" si="3"/>
        <v>0</v>
      </c>
      <c r="I12" s="64" t="str">
        <f>IFERROR(TRIM(VLOOKUP(A12,'Insumos '!$A$2:$E$313,5,0)&amp;""),"")</f>
        <v/>
      </c>
    </row>
    <row r="13" spans="1:10" ht="12.75" x14ac:dyDescent="0.2">
      <c r="A13" s="22"/>
      <c r="B13" s="24">
        <f t="shared" si="0"/>
        <v>0</v>
      </c>
      <c r="C13" s="26">
        <f>IF(I13="Un",0,IFERROR(VLOOKUP(A13,'Mermas por producto'!$A$2:$B$313,2,0),0))</f>
        <v>0</v>
      </c>
      <c r="D13" s="28">
        <f t="shared" si="1"/>
        <v>0</v>
      </c>
      <c r="E13" s="29"/>
      <c r="F13" s="63" t="str">
        <f>IFERROR(VLOOKUP(A13,'Insumos '!$A$2:$G$313,7,0),"")</f>
        <v/>
      </c>
      <c r="G13" s="30">
        <f t="shared" si="2"/>
        <v>0</v>
      </c>
      <c r="H13" s="31">
        <f t="shared" si="3"/>
        <v>0</v>
      </c>
      <c r="I13" s="64" t="str">
        <f>IFERROR(TRIM(VLOOKUP(A13,'Insumos '!$A$2:$E$313,5,0)&amp;""),"")</f>
        <v/>
      </c>
    </row>
    <row r="14" spans="1:10" ht="12.75" x14ac:dyDescent="0.2">
      <c r="A14" s="22"/>
      <c r="B14" s="24">
        <f t="shared" si="0"/>
        <v>0</v>
      </c>
      <c r="C14" s="26">
        <f>IF(I14="Un",0,IFERROR(VLOOKUP(A14,'Mermas por producto'!$A$2:$B$313,2,0),0))</f>
        <v>0</v>
      </c>
      <c r="D14" s="28">
        <f t="shared" si="1"/>
        <v>0</v>
      </c>
      <c r="E14" s="29"/>
      <c r="F14" s="63" t="str">
        <f>IFERROR(VLOOKUP(A14,'Insumos '!A:G,7,0),"")</f>
        <v/>
      </c>
      <c r="G14" s="30">
        <f t="shared" si="2"/>
        <v>0</v>
      </c>
      <c r="H14" s="31">
        <f t="shared" si="3"/>
        <v>0</v>
      </c>
      <c r="I14" s="64" t="str">
        <f>IFERROR(TRIM(VLOOKUP(A14,'Insumos '!$A$2:$E$313,5,0)&amp;""),"")</f>
        <v/>
      </c>
    </row>
    <row r="15" spans="1:10" ht="25.5" x14ac:dyDescent="0.2">
      <c r="A15" s="32" t="s">
        <v>412</v>
      </c>
      <c r="B15" s="33">
        <f>SUMIF(I8:I14,"&lt;&gt;Un",B8:B14)</f>
        <v>0</v>
      </c>
      <c r="C15" s="32" t="s">
        <v>413</v>
      </c>
      <c r="D15" s="34">
        <f>SUMIF(I8:I14,"&lt;&gt;Un",D8:D14)</f>
        <v>0</v>
      </c>
      <c r="E15" s="33">
        <f>SUMIF(I8:I14,"&lt;&gt;Un",E8:E14)</f>
        <v>0</v>
      </c>
      <c r="F15" s="35" t="s">
        <v>414</v>
      </c>
      <c r="G15" s="36">
        <f>SUM(G8:G14)</f>
        <v>0</v>
      </c>
      <c r="H15" s="37">
        <f>SUM(H8:H14)</f>
        <v>0</v>
      </c>
    </row>
    <row r="16" spans="1:10" ht="12.75" x14ac:dyDescent="0.2">
      <c r="F16" s="4" t="s">
        <v>47</v>
      </c>
      <c r="G16" s="65">
        <f>IFERROR(G15/E15, 0)</f>
        <v>0</v>
      </c>
    </row>
    <row r="17" spans="1:9" ht="12.75" x14ac:dyDescent="0.2">
      <c r="F17" s="4" t="s">
        <v>57</v>
      </c>
      <c r="G17" s="38">
        <f>IFERROR(G15/B6, 0)</f>
        <v>0</v>
      </c>
    </row>
    <row r="19" spans="1:9" ht="12.75" x14ac:dyDescent="0.2">
      <c r="A19" s="77" t="s">
        <v>415</v>
      </c>
      <c r="B19" s="68"/>
      <c r="C19" s="68"/>
      <c r="D19" s="68"/>
      <c r="E19" s="68"/>
      <c r="F19" s="68"/>
      <c r="G19" s="68"/>
      <c r="H19" s="69"/>
    </row>
    <row r="20" spans="1:9" ht="12.75" x14ac:dyDescent="0.2">
      <c r="A20" s="32" t="s">
        <v>400</v>
      </c>
      <c r="B20" s="82"/>
      <c r="C20" s="68"/>
      <c r="D20" s="68"/>
      <c r="E20" s="77" t="s">
        <v>401</v>
      </c>
      <c r="F20" s="69"/>
      <c r="G20" s="78">
        <v>0</v>
      </c>
      <c r="H20" s="69"/>
    </row>
    <row r="21" spans="1:9" ht="12.75" x14ac:dyDescent="0.2">
      <c r="A21" s="5" t="s">
        <v>27</v>
      </c>
      <c r="B21" s="79"/>
      <c r="C21" s="80"/>
      <c r="D21" s="81"/>
      <c r="E21" s="77" t="s">
        <v>402</v>
      </c>
      <c r="F21" s="69"/>
      <c r="G21" s="75">
        <f>E31</f>
        <v>0</v>
      </c>
      <c r="H21" s="69"/>
    </row>
    <row r="22" spans="1:9" ht="12.75" x14ac:dyDescent="0.2">
      <c r="A22" s="5" t="s">
        <v>403</v>
      </c>
      <c r="B22" s="76" t="s">
        <v>404</v>
      </c>
      <c r="C22" s="68"/>
      <c r="D22" s="69"/>
      <c r="E22" s="77" t="s">
        <v>35</v>
      </c>
      <c r="F22" s="69"/>
      <c r="G22" s="77">
        <f>IFERROR(G21/B22, 0)</f>
        <v>0</v>
      </c>
      <c r="H22" s="69"/>
    </row>
    <row r="23" spans="1:9" ht="25.5" x14ac:dyDescent="0.2">
      <c r="A23" s="17" t="s">
        <v>405</v>
      </c>
      <c r="B23" s="17" t="s">
        <v>406</v>
      </c>
      <c r="C23" s="17" t="s">
        <v>41</v>
      </c>
      <c r="D23" s="17" t="s">
        <v>407</v>
      </c>
      <c r="E23" s="17" t="s">
        <v>408</v>
      </c>
      <c r="F23" s="17" t="s">
        <v>47</v>
      </c>
      <c r="G23" s="17" t="s">
        <v>409</v>
      </c>
      <c r="H23" s="17" t="s">
        <v>410</v>
      </c>
      <c r="I23" s="17" t="s">
        <v>411</v>
      </c>
    </row>
    <row r="24" spans="1:9" ht="12.75" x14ac:dyDescent="0.2">
      <c r="A24" s="22"/>
      <c r="B24" s="24">
        <f t="shared" ref="B24:B30" si="4">E24/(100%-C24)</f>
        <v>0</v>
      </c>
      <c r="C24" s="26">
        <f>IF(I24="Un",0,IFERROR(VLOOKUP(A24,'Mermas por producto'!$A$2:$B$313,2,0),0))</f>
        <v>0</v>
      </c>
      <c r="D24" s="28">
        <f t="shared" ref="D24:D30" si="5">B24*C24</f>
        <v>0</v>
      </c>
      <c r="E24" s="29"/>
      <c r="F24" s="63" t="str">
        <f>IFERROR(VLOOKUP(A24,'Insumos '!A:G,7,0),"")</f>
        <v/>
      </c>
      <c r="G24" s="30">
        <f t="shared" ref="G24:G30" si="6">IFERROR(B24*F24, 0)</f>
        <v>0</v>
      </c>
      <c r="H24" s="31">
        <f t="shared" ref="H24:H30" si="7">IFERROR(G24/$G$31, 0)</f>
        <v>0</v>
      </c>
      <c r="I24" s="64" t="str">
        <f>IFERROR(TRIM(VLOOKUP(A24,'Insumos '!$A$2:$E$313,5,0)&amp;""),"")</f>
        <v/>
      </c>
    </row>
    <row r="25" spans="1:9" ht="12.75" x14ac:dyDescent="0.2">
      <c r="A25" s="22"/>
      <c r="B25" s="24">
        <f t="shared" si="4"/>
        <v>0</v>
      </c>
      <c r="C25" s="26">
        <f>IF(I25="Un",0,IFERROR(VLOOKUP(A25,'Mermas por producto'!$A$2:$B$313,2,0),0))</f>
        <v>0</v>
      </c>
      <c r="D25" s="28">
        <f t="shared" si="5"/>
        <v>0</v>
      </c>
      <c r="E25" s="29"/>
      <c r="F25" s="63" t="str">
        <f>IFERROR(VLOOKUP(A25,'Insumos '!A:G,7,0),"")</f>
        <v/>
      </c>
      <c r="G25" s="30">
        <f t="shared" si="6"/>
        <v>0</v>
      </c>
      <c r="H25" s="31">
        <f t="shared" si="7"/>
        <v>0</v>
      </c>
      <c r="I25" s="64" t="str">
        <f>IFERROR(TRIM(VLOOKUP(A25,'Insumos '!$A$2:$E$313,5,0)&amp;""),"")</f>
        <v/>
      </c>
    </row>
    <row r="26" spans="1:9" ht="12.75" x14ac:dyDescent="0.2">
      <c r="A26" s="22"/>
      <c r="B26" s="24">
        <f t="shared" si="4"/>
        <v>0</v>
      </c>
      <c r="C26" s="26">
        <f>IF(I26="Un",0,IFERROR(VLOOKUP(A26,'Mermas por producto'!$A$2:$B$313,2,0),0))</f>
        <v>0</v>
      </c>
      <c r="D26" s="28">
        <f t="shared" si="5"/>
        <v>0</v>
      </c>
      <c r="E26" s="29"/>
      <c r="F26" s="63" t="str">
        <f>IFERROR(VLOOKUP(A26,'Insumos '!A:G,7,0),"")</f>
        <v/>
      </c>
      <c r="G26" s="30">
        <f t="shared" si="6"/>
        <v>0</v>
      </c>
      <c r="H26" s="31">
        <f t="shared" si="7"/>
        <v>0</v>
      </c>
      <c r="I26" s="64" t="str">
        <f>IFERROR(TRIM(VLOOKUP(A26,'Insumos '!$A$2:$E$313,5,0)&amp;""),"")</f>
        <v/>
      </c>
    </row>
    <row r="27" spans="1:9" ht="12.75" x14ac:dyDescent="0.2">
      <c r="A27" s="22"/>
      <c r="B27" s="24">
        <f t="shared" si="4"/>
        <v>0</v>
      </c>
      <c r="C27" s="26">
        <f>IF(I27="Un",0,IFERROR(VLOOKUP(A27,'Mermas por producto'!$A$2:$B$313,2,0),0))</f>
        <v>0</v>
      </c>
      <c r="D27" s="28">
        <f t="shared" si="5"/>
        <v>0</v>
      </c>
      <c r="E27" s="29"/>
      <c r="F27" s="63" t="str">
        <f>IFERROR(VLOOKUP(A27,'Insumos '!A:G,7,0),"")</f>
        <v/>
      </c>
      <c r="G27" s="30">
        <f t="shared" si="6"/>
        <v>0</v>
      </c>
      <c r="H27" s="31">
        <f t="shared" si="7"/>
        <v>0</v>
      </c>
      <c r="I27" s="64" t="str">
        <f>IFERROR(TRIM(VLOOKUP(A27,'Insumos '!$A$2:$E$313,5,0)&amp;""),"")</f>
        <v/>
      </c>
    </row>
    <row r="28" spans="1:9" ht="12.75" x14ac:dyDescent="0.2">
      <c r="A28" s="22"/>
      <c r="B28" s="24">
        <f t="shared" si="4"/>
        <v>0</v>
      </c>
      <c r="C28" s="26">
        <f>IF(I28="Un",0,IFERROR(VLOOKUP(A28,'Mermas por producto'!$A$2:$B$313,2,0),0))</f>
        <v>0</v>
      </c>
      <c r="D28" s="28">
        <f t="shared" si="5"/>
        <v>0</v>
      </c>
      <c r="E28" s="29"/>
      <c r="F28" s="63" t="str">
        <f>IFERROR(VLOOKUP(A28,'Insumos '!A:G,7,0),"")</f>
        <v/>
      </c>
      <c r="G28" s="30">
        <f t="shared" si="6"/>
        <v>0</v>
      </c>
      <c r="H28" s="31">
        <f t="shared" si="7"/>
        <v>0</v>
      </c>
      <c r="I28" s="64" t="str">
        <f>IFERROR(TRIM(VLOOKUP(A28,'Insumos '!$A$2:$E$313,5,0)&amp;""),"")</f>
        <v/>
      </c>
    </row>
    <row r="29" spans="1:9" ht="12.75" x14ac:dyDescent="0.2">
      <c r="A29" s="22"/>
      <c r="B29" s="24">
        <f t="shared" si="4"/>
        <v>0</v>
      </c>
      <c r="C29" s="26">
        <f>IF(I29="Un",0,IFERROR(VLOOKUP(A29,'Mermas por producto'!$A$2:$B$313,2,0),0))</f>
        <v>0</v>
      </c>
      <c r="D29" s="28">
        <f t="shared" si="5"/>
        <v>0</v>
      </c>
      <c r="E29" s="29"/>
      <c r="F29" s="63" t="str">
        <f>IFERROR(VLOOKUP(A29,'Insumos '!$A$2:$G$313,7,0),"")</f>
        <v/>
      </c>
      <c r="G29" s="30">
        <f t="shared" si="6"/>
        <v>0</v>
      </c>
      <c r="H29" s="31">
        <f t="shared" si="7"/>
        <v>0</v>
      </c>
      <c r="I29" s="64" t="str">
        <f>IFERROR(TRIM(VLOOKUP(A29,'Insumos '!$A$2:$E$313,5,0)&amp;""),"")</f>
        <v/>
      </c>
    </row>
    <row r="30" spans="1:9" ht="12.75" x14ac:dyDescent="0.2">
      <c r="A30" s="22"/>
      <c r="B30" s="24">
        <f t="shared" si="4"/>
        <v>0</v>
      </c>
      <c r="C30" s="26">
        <f>IF(I30="Un",0,IFERROR(VLOOKUP(A30,'Mermas por producto'!$A$2:$B$313,2,0),0))</f>
        <v>0</v>
      </c>
      <c r="D30" s="28">
        <f t="shared" si="5"/>
        <v>0</v>
      </c>
      <c r="E30" s="29"/>
      <c r="F30" s="63" t="str">
        <f>IFERROR(VLOOKUP(A30,'Insumos '!A:G,7,0),"")</f>
        <v/>
      </c>
      <c r="G30" s="30">
        <f t="shared" si="6"/>
        <v>0</v>
      </c>
      <c r="H30" s="31">
        <f t="shared" si="7"/>
        <v>0</v>
      </c>
      <c r="I30" s="64" t="str">
        <f>IFERROR(TRIM(VLOOKUP(A30,'Insumos '!$A$2:$E$313,5,0)&amp;""),"")</f>
        <v/>
      </c>
    </row>
    <row r="31" spans="1:9" ht="25.5" x14ac:dyDescent="0.2">
      <c r="A31" s="32" t="s">
        <v>412</v>
      </c>
      <c r="B31" s="33">
        <f>SUMIF(I24:I30,"&lt;&gt;Un",B24:B30)</f>
        <v>0</v>
      </c>
      <c r="C31" s="32" t="s">
        <v>413</v>
      </c>
      <c r="D31" s="34">
        <f>SUMIF(I24:I30,"&lt;&gt;Un",D24:D30)</f>
        <v>0</v>
      </c>
      <c r="E31" s="33">
        <f>SUMIF(I24:I30,"&lt;&gt;Un",E24:E30)</f>
        <v>0</v>
      </c>
      <c r="F31" s="35" t="s">
        <v>414</v>
      </c>
      <c r="G31" s="36">
        <f>SUM(G24:G30)</f>
        <v>0</v>
      </c>
      <c r="H31" s="37">
        <f>SUM(H24:H30)</f>
        <v>0</v>
      </c>
    </row>
    <row r="32" spans="1:9" ht="12.75" x14ac:dyDescent="0.2">
      <c r="F32" s="4" t="s">
        <v>47</v>
      </c>
      <c r="G32" s="65">
        <f>IFERROR(G31/E31, 0)</f>
        <v>0</v>
      </c>
    </row>
    <row r="33" spans="1:9" ht="12.75" x14ac:dyDescent="0.2">
      <c r="F33" s="4" t="s">
        <v>57</v>
      </c>
      <c r="G33" s="38">
        <f>IFERROR(G31/B22, 0)</f>
        <v>0</v>
      </c>
    </row>
    <row r="35" spans="1:9" ht="12.75" x14ac:dyDescent="0.2">
      <c r="A35" s="77" t="s">
        <v>416</v>
      </c>
      <c r="B35" s="68"/>
      <c r="C35" s="68"/>
      <c r="D35" s="68"/>
      <c r="E35" s="68"/>
      <c r="F35" s="68"/>
      <c r="G35" s="68"/>
      <c r="H35" s="69"/>
    </row>
    <row r="36" spans="1:9" ht="12.75" x14ac:dyDescent="0.2">
      <c r="A36" s="45" t="s">
        <v>400</v>
      </c>
      <c r="B36" s="76"/>
      <c r="C36" s="68"/>
      <c r="D36" s="69"/>
      <c r="E36" s="77" t="s">
        <v>401</v>
      </c>
      <c r="F36" s="69"/>
      <c r="G36" s="78">
        <v>0</v>
      </c>
      <c r="H36" s="69"/>
    </row>
    <row r="37" spans="1:9" ht="12.75" x14ac:dyDescent="0.2">
      <c r="A37" s="5" t="s">
        <v>27</v>
      </c>
      <c r="B37" s="79"/>
      <c r="C37" s="80"/>
      <c r="D37" s="81"/>
      <c r="E37" s="77" t="s">
        <v>402</v>
      </c>
      <c r="F37" s="69"/>
      <c r="G37" s="75">
        <f>E47</f>
        <v>0</v>
      </c>
      <c r="H37" s="69"/>
    </row>
    <row r="38" spans="1:9" ht="12.75" x14ac:dyDescent="0.2">
      <c r="A38" s="5" t="s">
        <v>403</v>
      </c>
      <c r="B38" s="76" t="s">
        <v>404</v>
      </c>
      <c r="C38" s="68"/>
      <c r="D38" s="69"/>
      <c r="E38" s="77" t="s">
        <v>35</v>
      </c>
      <c r="F38" s="69"/>
      <c r="G38" s="77">
        <f>IFERROR(G37/B38, 0)</f>
        <v>0</v>
      </c>
      <c r="H38" s="69"/>
    </row>
    <row r="39" spans="1:9" ht="25.5" x14ac:dyDescent="0.2">
      <c r="A39" s="17" t="s">
        <v>405</v>
      </c>
      <c r="B39" s="17" t="s">
        <v>406</v>
      </c>
      <c r="C39" s="17" t="s">
        <v>41</v>
      </c>
      <c r="D39" s="17" t="s">
        <v>407</v>
      </c>
      <c r="E39" s="17" t="s">
        <v>408</v>
      </c>
      <c r="F39" s="17" t="s">
        <v>47</v>
      </c>
      <c r="G39" s="17" t="s">
        <v>409</v>
      </c>
      <c r="H39" s="17" t="s">
        <v>410</v>
      </c>
      <c r="I39" s="17" t="s">
        <v>411</v>
      </c>
    </row>
    <row r="40" spans="1:9" ht="12.75" x14ac:dyDescent="0.2">
      <c r="A40" s="22"/>
      <c r="B40" s="24">
        <f t="shared" ref="B40:B46" si="8">E40/(100%-C40)</f>
        <v>0</v>
      </c>
      <c r="C40" s="26">
        <f>IF(I40="Un",0,IFERROR(VLOOKUP(A40,'Mermas por producto'!$A$2:$B$313,2,0),0))</f>
        <v>0</v>
      </c>
      <c r="D40" s="28">
        <f t="shared" ref="D40:D46" si="9">B40*C40</f>
        <v>0</v>
      </c>
      <c r="E40" s="29"/>
      <c r="F40" s="63" t="str">
        <f>IFERROR(VLOOKUP(A40,'Insumos '!A:G,7,0),"")</f>
        <v/>
      </c>
      <c r="G40" s="30">
        <f t="shared" ref="G40:G46" si="10">IFERROR(B40*F40, 0)</f>
        <v>0</v>
      </c>
      <c r="H40" s="31">
        <f t="shared" ref="H40:H46" si="11">IFERROR(G40/$G$47, 0)</f>
        <v>0</v>
      </c>
      <c r="I40" s="64" t="str">
        <f>IFERROR(TRIM(VLOOKUP(A40,'Insumos '!$A$2:$E$313,5,0)&amp;""),"")</f>
        <v/>
      </c>
    </row>
    <row r="41" spans="1:9" ht="12.75" x14ac:dyDescent="0.2">
      <c r="A41" s="22"/>
      <c r="B41" s="24">
        <f t="shared" si="8"/>
        <v>0</v>
      </c>
      <c r="C41" s="26">
        <f>IF(I41="Un",0,IFERROR(VLOOKUP(A41,'Mermas por producto'!$A$2:$B$313,2,0),0))</f>
        <v>0</v>
      </c>
      <c r="D41" s="28">
        <f t="shared" si="9"/>
        <v>0</v>
      </c>
      <c r="E41" s="29"/>
      <c r="F41" s="63" t="str">
        <f>IFERROR(VLOOKUP(A41,'Insumos '!A:G,7,0),"")</f>
        <v/>
      </c>
      <c r="G41" s="30">
        <f t="shared" si="10"/>
        <v>0</v>
      </c>
      <c r="H41" s="31">
        <f t="shared" si="11"/>
        <v>0</v>
      </c>
      <c r="I41" s="64" t="str">
        <f>IFERROR(TRIM(VLOOKUP(A41,'Insumos '!$A$2:$E$313,5,0)&amp;""),"")</f>
        <v/>
      </c>
    </row>
    <row r="42" spans="1:9" ht="12.75" x14ac:dyDescent="0.2">
      <c r="A42" s="22"/>
      <c r="B42" s="24">
        <f t="shared" si="8"/>
        <v>0</v>
      </c>
      <c r="C42" s="26">
        <f>IF(I42="Un",0,IFERROR(VLOOKUP(A42,'Mermas por producto'!$A$2:$B$313,2,0),0))</f>
        <v>0</v>
      </c>
      <c r="D42" s="28">
        <f t="shared" si="9"/>
        <v>0</v>
      </c>
      <c r="E42" s="29"/>
      <c r="F42" s="63" t="str">
        <f>IFERROR(VLOOKUP(A42,'Insumos '!A:G,7,0),"")</f>
        <v/>
      </c>
      <c r="G42" s="30">
        <f t="shared" si="10"/>
        <v>0</v>
      </c>
      <c r="H42" s="31">
        <f t="shared" si="11"/>
        <v>0</v>
      </c>
      <c r="I42" s="64" t="str">
        <f>IFERROR(TRIM(VLOOKUP(A42,'Insumos '!$A$2:$E$313,5,0)&amp;""),"")</f>
        <v/>
      </c>
    </row>
    <row r="43" spans="1:9" ht="12.75" x14ac:dyDescent="0.2">
      <c r="A43" s="22"/>
      <c r="B43" s="24">
        <f t="shared" si="8"/>
        <v>0</v>
      </c>
      <c r="C43" s="26">
        <f>IF(I43="Un",0,IFERROR(VLOOKUP(A43,'Mermas por producto'!$A$2:$B$313,2,0),0))</f>
        <v>0</v>
      </c>
      <c r="D43" s="28">
        <f t="shared" si="9"/>
        <v>0</v>
      </c>
      <c r="E43" s="29"/>
      <c r="F43" s="63" t="str">
        <f>IFERROR(VLOOKUP(A43,'Insumos '!A:G,7,0),"")</f>
        <v/>
      </c>
      <c r="G43" s="30">
        <f t="shared" si="10"/>
        <v>0</v>
      </c>
      <c r="H43" s="31">
        <f t="shared" si="11"/>
        <v>0</v>
      </c>
      <c r="I43" s="64" t="str">
        <f>IFERROR(TRIM(VLOOKUP(A43,'Insumos '!$A$2:$E$313,5,0)&amp;""),"")</f>
        <v/>
      </c>
    </row>
    <row r="44" spans="1:9" ht="12.75" x14ac:dyDescent="0.2">
      <c r="A44" s="22"/>
      <c r="B44" s="24">
        <f t="shared" si="8"/>
        <v>0</v>
      </c>
      <c r="C44" s="26">
        <f>IF(I44="Un",0,IFERROR(VLOOKUP(A44,'Mermas por producto'!$A$2:$B$313,2,0),0))</f>
        <v>0</v>
      </c>
      <c r="D44" s="28">
        <f t="shared" si="9"/>
        <v>0</v>
      </c>
      <c r="E44" s="29"/>
      <c r="F44" s="63" t="str">
        <f>IFERROR(VLOOKUP(A44,'Insumos '!A:G,7,0),"")</f>
        <v/>
      </c>
      <c r="G44" s="30">
        <f t="shared" si="10"/>
        <v>0</v>
      </c>
      <c r="H44" s="31">
        <f t="shared" si="11"/>
        <v>0</v>
      </c>
      <c r="I44" s="64" t="str">
        <f>IFERROR(TRIM(VLOOKUP(A44,'Insumos '!$A$2:$E$313,5,0)&amp;""),"")</f>
        <v/>
      </c>
    </row>
    <row r="45" spans="1:9" ht="12.75" x14ac:dyDescent="0.2">
      <c r="A45" s="22"/>
      <c r="B45" s="24">
        <f t="shared" si="8"/>
        <v>0</v>
      </c>
      <c r="C45" s="26">
        <f>IF(I45="Un",0,IFERROR(VLOOKUP(A45,'Mermas por producto'!$A$2:$B$313,2,0),0))</f>
        <v>0</v>
      </c>
      <c r="D45" s="28">
        <f t="shared" si="9"/>
        <v>0</v>
      </c>
      <c r="E45" s="29"/>
      <c r="F45" s="63" t="str">
        <f>IFERROR(VLOOKUP(A45,'Insumos '!$A$2:$G$313,7,0),"")</f>
        <v/>
      </c>
      <c r="G45" s="30">
        <f t="shared" si="10"/>
        <v>0</v>
      </c>
      <c r="H45" s="31">
        <f t="shared" si="11"/>
        <v>0</v>
      </c>
      <c r="I45" s="64" t="str">
        <f>IFERROR(TRIM(VLOOKUP(A45,'Insumos '!$A$2:$E$313,5,0)&amp;""),"")</f>
        <v/>
      </c>
    </row>
    <row r="46" spans="1:9" ht="12.75" x14ac:dyDescent="0.2">
      <c r="A46" s="22"/>
      <c r="B46" s="24">
        <f t="shared" si="8"/>
        <v>0</v>
      </c>
      <c r="C46" s="26">
        <f>IF(I46="Un",0,IFERROR(VLOOKUP(A46,'Mermas por producto'!$A$2:$B$313,2,0),0))</f>
        <v>0</v>
      </c>
      <c r="D46" s="28">
        <f t="shared" si="9"/>
        <v>0</v>
      </c>
      <c r="E46" s="29"/>
      <c r="F46" s="63" t="str">
        <f>IFERROR(VLOOKUP(A46,'Insumos '!A:G,7,0),"")</f>
        <v/>
      </c>
      <c r="G46" s="30">
        <f t="shared" si="10"/>
        <v>0</v>
      </c>
      <c r="H46" s="31">
        <f t="shared" si="11"/>
        <v>0</v>
      </c>
      <c r="I46" s="64" t="str">
        <f>IFERROR(TRIM(VLOOKUP(A46,'Insumos '!$A$2:$E$313,5,0)&amp;""),"")</f>
        <v/>
      </c>
    </row>
    <row r="47" spans="1:9" ht="25.5" x14ac:dyDescent="0.2">
      <c r="A47" s="32" t="s">
        <v>412</v>
      </c>
      <c r="B47" s="33">
        <f>SUMIF(I40:I46,"&lt;&gt;Un",B40:B46)</f>
        <v>0</v>
      </c>
      <c r="C47" s="32" t="s">
        <v>413</v>
      </c>
      <c r="D47" s="34">
        <f>SUMIF(I40:I46,"&lt;&gt;Un",D40:D46)</f>
        <v>0</v>
      </c>
      <c r="E47" s="33">
        <f>SUMIF(I40:I46,"&lt;&gt;Un",E40:E46)</f>
        <v>0</v>
      </c>
      <c r="F47" s="35" t="s">
        <v>414</v>
      </c>
      <c r="G47" s="36">
        <f>SUM(G40:G46)</f>
        <v>0</v>
      </c>
      <c r="H47" s="37">
        <f>SUM(H40:H46)</f>
        <v>0</v>
      </c>
    </row>
    <row r="48" spans="1:9" ht="12.75" x14ac:dyDescent="0.2">
      <c r="F48" s="4" t="s">
        <v>47</v>
      </c>
      <c r="G48" s="65">
        <f>IFERROR(G47/E47, 0)</f>
        <v>0</v>
      </c>
    </row>
    <row r="49" spans="1:9" ht="12.75" x14ac:dyDescent="0.2">
      <c r="F49" s="4" t="s">
        <v>57</v>
      </c>
      <c r="G49" s="38">
        <f>IFERROR(G47/B38, 0)</f>
        <v>0</v>
      </c>
    </row>
    <row r="51" spans="1:9" ht="12.75" x14ac:dyDescent="0.2">
      <c r="A51" s="77" t="s">
        <v>417</v>
      </c>
      <c r="B51" s="68"/>
      <c r="C51" s="68"/>
      <c r="D51" s="68"/>
      <c r="E51" s="68"/>
      <c r="F51" s="68"/>
      <c r="G51" s="68"/>
      <c r="H51" s="69"/>
    </row>
    <row r="52" spans="1:9" ht="12.75" x14ac:dyDescent="0.2">
      <c r="A52" s="45" t="s">
        <v>400</v>
      </c>
      <c r="B52" s="76"/>
      <c r="C52" s="68"/>
      <c r="D52" s="69"/>
      <c r="E52" s="77" t="s">
        <v>401</v>
      </c>
      <c r="F52" s="69"/>
      <c r="G52" s="78">
        <v>0</v>
      </c>
      <c r="H52" s="69"/>
    </row>
    <row r="53" spans="1:9" ht="12.75" x14ac:dyDescent="0.2">
      <c r="A53" s="5" t="s">
        <v>27</v>
      </c>
      <c r="B53" s="79"/>
      <c r="C53" s="80"/>
      <c r="D53" s="81"/>
      <c r="E53" s="77" t="s">
        <v>402</v>
      </c>
      <c r="F53" s="69"/>
      <c r="G53" s="75">
        <f>E63</f>
        <v>0</v>
      </c>
      <c r="H53" s="69"/>
    </row>
    <row r="54" spans="1:9" ht="15.75" customHeight="1" x14ac:dyDescent="0.2">
      <c r="A54" s="5" t="s">
        <v>403</v>
      </c>
      <c r="B54" s="76" t="s">
        <v>404</v>
      </c>
      <c r="C54" s="68"/>
      <c r="D54" s="69"/>
      <c r="E54" s="77" t="s">
        <v>35</v>
      </c>
      <c r="F54" s="69"/>
      <c r="G54" s="77">
        <f>IFERROR(G53/B54, 0)</f>
        <v>0</v>
      </c>
      <c r="H54" s="69"/>
    </row>
    <row r="55" spans="1:9" ht="15.75" customHeight="1" x14ac:dyDescent="0.2">
      <c r="A55" s="17" t="s">
        <v>405</v>
      </c>
      <c r="B55" s="17" t="s">
        <v>406</v>
      </c>
      <c r="C55" s="17" t="s">
        <v>41</v>
      </c>
      <c r="D55" s="17" t="s">
        <v>407</v>
      </c>
      <c r="E55" s="17" t="s">
        <v>408</v>
      </c>
      <c r="F55" s="17" t="s">
        <v>47</v>
      </c>
      <c r="G55" s="17" t="s">
        <v>409</v>
      </c>
      <c r="H55" s="17" t="s">
        <v>410</v>
      </c>
      <c r="I55" s="17" t="s">
        <v>411</v>
      </c>
    </row>
    <row r="56" spans="1:9" ht="15.75" customHeight="1" x14ac:dyDescent="0.2">
      <c r="A56" s="22"/>
      <c r="B56" s="24">
        <f t="shared" ref="B56:B62" si="12">E56/(100%-C56)</f>
        <v>0</v>
      </c>
      <c r="C56" s="26">
        <f>IF(I56="Un",0,IFERROR(VLOOKUP(A56,'Mermas por producto'!$A$2:$B$313,2,0),0))</f>
        <v>0</v>
      </c>
      <c r="D56" s="28">
        <f t="shared" ref="D56:D62" si="13">B56*C56</f>
        <v>0</v>
      </c>
      <c r="E56" s="29"/>
      <c r="F56" s="63" t="str">
        <f>IFERROR(VLOOKUP(A56,'Insumos '!A:G,7,0),"")</f>
        <v/>
      </c>
      <c r="G56" s="30">
        <f t="shared" ref="G56:G62" si="14">IFERROR(B56*F56, 0)</f>
        <v>0</v>
      </c>
      <c r="H56" s="31">
        <f t="shared" ref="H56:H62" si="15">IFERROR(G56/$G$63, 0)</f>
        <v>0</v>
      </c>
      <c r="I56" s="64" t="str">
        <f>IFERROR(TRIM(VLOOKUP(A56,'Insumos '!$A$2:$E$313,5,0)&amp;""),"")</f>
        <v/>
      </c>
    </row>
    <row r="57" spans="1:9" ht="15.75" customHeight="1" x14ac:dyDescent="0.2">
      <c r="A57" s="22"/>
      <c r="B57" s="24">
        <f t="shared" si="12"/>
        <v>0</v>
      </c>
      <c r="C57" s="26">
        <f>IF(I57="Un",0,IFERROR(VLOOKUP(A57,'Mermas por producto'!$A$2:$B$313,2,0),0))</f>
        <v>0</v>
      </c>
      <c r="D57" s="28">
        <f t="shared" si="13"/>
        <v>0</v>
      </c>
      <c r="E57" s="29"/>
      <c r="F57" s="63" t="str">
        <f>IFERROR(VLOOKUP(A57,'Insumos '!A:G,7,0),"")</f>
        <v/>
      </c>
      <c r="G57" s="30">
        <f t="shared" si="14"/>
        <v>0</v>
      </c>
      <c r="H57" s="31">
        <f t="shared" si="15"/>
        <v>0</v>
      </c>
      <c r="I57" s="64" t="str">
        <f>IFERROR(TRIM(VLOOKUP(A57,'Insumos '!$A$2:$E$313,5,0)&amp;""),"")</f>
        <v/>
      </c>
    </row>
    <row r="58" spans="1:9" ht="15.75" customHeight="1" x14ac:dyDescent="0.2">
      <c r="A58" s="22"/>
      <c r="B58" s="24">
        <f t="shared" si="12"/>
        <v>0</v>
      </c>
      <c r="C58" s="26">
        <f>IF(I58="Un",0,IFERROR(VLOOKUP(A58,'Mermas por producto'!$A$2:$B$313,2,0),0))</f>
        <v>0</v>
      </c>
      <c r="D58" s="28">
        <f t="shared" si="13"/>
        <v>0</v>
      </c>
      <c r="E58" s="29"/>
      <c r="F58" s="63" t="str">
        <f>IFERROR(VLOOKUP(A58,'Insumos '!A:G,7,0),"")</f>
        <v/>
      </c>
      <c r="G58" s="30">
        <f t="shared" si="14"/>
        <v>0</v>
      </c>
      <c r="H58" s="31">
        <f t="shared" si="15"/>
        <v>0</v>
      </c>
      <c r="I58" s="64" t="str">
        <f>IFERROR(TRIM(VLOOKUP(A58,'Insumos '!$A$2:$E$313,5,0)&amp;""),"")</f>
        <v/>
      </c>
    </row>
    <row r="59" spans="1:9" ht="15.75" customHeight="1" x14ac:dyDescent="0.2">
      <c r="A59" s="22"/>
      <c r="B59" s="24">
        <f t="shared" si="12"/>
        <v>0</v>
      </c>
      <c r="C59" s="26">
        <f>IF(I59="Un",0,IFERROR(VLOOKUP(A59,'Mermas por producto'!$A$2:$B$313,2,0),0))</f>
        <v>0</v>
      </c>
      <c r="D59" s="28">
        <f t="shared" si="13"/>
        <v>0</v>
      </c>
      <c r="E59" s="29"/>
      <c r="F59" s="63" t="str">
        <f>IFERROR(VLOOKUP(A59,'Insumos '!A:G,7,0),"")</f>
        <v/>
      </c>
      <c r="G59" s="30">
        <f t="shared" si="14"/>
        <v>0</v>
      </c>
      <c r="H59" s="31">
        <f t="shared" si="15"/>
        <v>0</v>
      </c>
      <c r="I59" s="64" t="str">
        <f>IFERROR(TRIM(VLOOKUP(A59,'Insumos '!$A$2:$E$313,5,0)&amp;""),"")</f>
        <v/>
      </c>
    </row>
    <row r="60" spans="1:9" ht="15.75" customHeight="1" x14ac:dyDescent="0.2">
      <c r="A60" s="22"/>
      <c r="B60" s="24">
        <f t="shared" si="12"/>
        <v>0</v>
      </c>
      <c r="C60" s="26">
        <f>IF(I60="Un",0,IFERROR(VLOOKUP(A60,'Mermas por producto'!$A$2:$B$313,2,0),0))</f>
        <v>0</v>
      </c>
      <c r="D60" s="28">
        <f t="shared" si="13"/>
        <v>0</v>
      </c>
      <c r="E60" s="29"/>
      <c r="F60" s="63" t="str">
        <f>IFERROR(VLOOKUP(A60,'Insumos '!A:G,7,0),"")</f>
        <v/>
      </c>
      <c r="G60" s="30">
        <f t="shared" si="14"/>
        <v>0</v>
      </c>
      <c r="H60" s="31">
        <f t="shared" si="15"/>
        <v>0</v>
      </c>
      <c r="I60" s="64" t="str">
        <f>IFERROR(TRIM(VLOOKUP(A60,'Insumos '!$A$2:$E$313,5,0)&amp;""),"")</f>
        <v/>
      </c>
    </row>
    <row r="61" spans="1:9" ht="15.75" customHeight="1" x14ac:dyDescent="0.2">
      <c r="A61" s="22"/>
      <c r="B61" s="24">
        <f t="shared" si="12"/>
        <v>0</v>
      </c>
      <c r="C61" s="26">
        <f>IF(I61="Un",0,IFERROR(VLOOKUP(A61,'Mermas por producto'!$A$2:$B$313,2,0),0))</f>
        <v>0</v>
      </c>
      <c r="D61" s="28">
        <f t="shared" si="13"/>
        <v>0</v>
      </c>
      <c r="E61" s="29"/>
      <c r="F61" s="63" t="str">
        <f>IFERROR(VLOOKUP(A61,'Insumos '!$A$2:$G$313,7,0),"")</f>
        <v/>
      </c>
      <c r="G61" s="30">
        <f t="shared" si="14"/>
        <v>0</v>
      </c>
      <c r="H61" s="31">
        <f t="shared" si="15"/>
        <v>0</v>
      </c>
      <c r="I61" s="64" t="str">
        <f>IFERROR(TRIM(VLOOKUP(A61,'Insumos '!$A$2:$E$313,5,0)&amp;""),"")</f>
        <v/>
      </c>
    </row>
    <row r="62" spans="1:9" ht="15.75" customHeight="1" x14ac:dyDescent="0.2">
      <c r="A62" s="22"/>
      <c r="B62" s="24">
        <f t="shared" si="12"/>
        <v>0</v>
      </c>
      <c r="C62" s="26">
        <f>IF(I62="Un",0,IFERROR(VLOOKUP(A62,'Mermas por producto'!$A$2:$B$313,2,0),0))</f>
        <v>0</v>
      </c>
      <c r="D62" s="28">
        <f t="shared" si="13"/>
        <v>0</v>
      </c>
      <c r="E62" s="29"/>
      <c r="F62" s="63" t="str">
        <f>IFERROR(VLOOKUP(A62,'Insumos '!A:G,7,0),"")</f>
        <v/>
      </c>
      <c r="G62" s="30">
        <f t="shared" si="14"/>
        <v>0</v>
      </c>
      <c r="H62" s="31">
        <f t="shared" si="15"/>
        <v>0</v>
      </c>
      <c r="I62" s="64" t="str">
        <f>IFERROR(TRIM(VLOOKUP(A62,'Insumos '!$A$2:$E$313,5,0)&amp;""),"")</f>
        <v/>
      </c>
    </row>
    <row r="63" spans="1:9" ht="15.75" customHeight="1" x14ac:dyDescent="0.2">
      <c r="A63" s="32" t="s">
        <v>412</v>
      </c>
      <c r="B63" s="33">
        <f>SUMIF(I56:I62,"&lt;&gt;Un",B56:B62)</f>
        <v>0</v>
      </c>
      <c r="C63" s="32" t="s">
        <v>413</v>
      </c>
      <c r="D63" s="34">
        <f>SUMIF(I56:I62,"&lt;&gt;Un",D56:D62)</f>
        <v>0</v>
      </c>
      <c r="E63" s="33">
        <f>SUMIF(I56:I62,"&lt;&gt;Un",E56:E62)</f>
        <v>0</v>
      </c>
      <c r="F63" s="35" t="s">
        <v>414</v>
      </c>
      <c r="G63" s="36">
        <f>SUM(G56:G62)</f>
        <v>0</v>
      </c>
      <c r="H63" s="37">
        <f>SUM(H56:H62)</f>
        <v>0</v>
      </c>
    </row>
    <row r="64" spans="1:9" ht="15.75" customHeight="1" x14ac:dyDescent="0.2">
      <c r="F64" s="4" t="s">
        <v>47</v>
      </c>
      <c r="G64" s="65">
        <f>IFERROR(G63/E63, 0)</f>
        <v>0</v>
      </c>
    </row>
    <row r="65" spans="1:9" ht="15.75" customHeight="1" x14ac:dyDescent="0.2">
      <c r="F65" s="4" t="s">
        <v>57</v>
      </c>
      <c r="G65" s="38">
        <f>IFERROR(G63/B54, 0)</f>
        <v>0</v>
      </c>
    </row>
    <row r="67" spans="1:9" ht="15.75" customHeight="1" x14ac:dyDescent="0.2">
      <c r="A67" s="77" t="s">
        <v>418</v>
      </c>
      <c r="B67" s="68"/>
      <c r="C67" s="68"/>
      <c r="D67" s="68"/>
      <c r="E67" s="68"/>
      <c r="F67" s="68"/>
      <c r="G67" s="68"/>
      <c r="H67" s="69"/>
    </row>
    <row r="68" spans="1:9" ht="15.75" customHeight="1" x14ac:dyDescent="0.2">
      <c r="A68" s="45" t="s">
        <v>400</v>
      </c>
      <c r="B68" s="76"/>
      <c r="C68" s="68"/>
      <c r="D68" s="69"/>
      <c r="E68" s="77" t="s">
        <v>401</v>
      </c>
      <c r="F68" s="69"/>
      <c r="G68" s="78">
        <v>0</v>
      </c>
      <c r="H68" s="69"/>
    </row>
    <row r="69" spans="1:9" ht="15.75" customHeight="1" x14ac:dyDescent="0.2">
      <c r="A69" s="5" t="s">
        <v>27</v>
      </c>
      <c r="B69" s="79"/>
      <c r="C69" s="80"/>
      <c r="D69" s="81"/>
      <c r="E69" s="77" t="s">
        <v>402</v>
      </c>
      <c r="F69" s="69"/>
      <c r="G69" s="75">
        <f>E79</f>
        <v>0</v>
      </c>
      <c r="H69" s="69"/>
    </row>
    <row r="70" spans="1:9" ht="15.75" customHeight="1" x14ac:dyDescent="0.2">
      <c r="A70" s="5" t="s">
        <v>403</v>
      </c>
      <c r="B70" s="76" t="s">
        <v>404</v>
      </c>
      <c r="C70" s="68"/>
      <c r="D70" s="69"/>
      <c r="E70" s="77" t="s">
        <v>35</v>
      </c>
      <c r="F70" s="69"/>
      <c r="G70" s="77">
        <f>IFERROR(G69/B70, 0)</f>
        <v>0</v>
      </c>
      <c r="H70" s="69"/>
    </row>
    <row r="71" spans="1:9" ht="15.75" customHeight="1" x14ac:dyDescent="0.2">
      <c r="A71" s="17" t="s">
        <v>405</v>
      </c>
      <c r="B71" s="17" t="s">
        <v>406</v>
      </c>
      <c r="C71" s="17" t="s">
        <v>41</v>
      </c>
      <c r="D71" s="17" t="s">
        <v>407</v>
      </c>
      <c r="E71" s="17" t="s">
        <v>408</v>
      </c>
      <c r="F71" s="17" t="s">
        <v>47</v>
      </c>
      <c r="G71" s="17" t="s">
        <v>409</v>
      </c>
      <c r="H71" s="17" t="s">
        <v>410</v>
      </c>
      <c r="I71" s="17" t="s">
        <v>411</v>
      </c>
    </row>
    <row r="72" spans="1:9" ht="15.75" customHeight="1" x14ac:dyDescent="0.2">
      <c r="A72" s="22"/>
      <c r="B72" s="24">
        <f t="shared" ref="B72:B78" si="16">E72/(100%-C72)</f>
        <v>0</v>
      </c>
      <c r="C72" s="26">
        <f>IF(I72="Un",0,IFERROR(VLOOKUP(A72,'Mermas por producto'!$A$2:$B$313,2,0),0))</f>
        <v>0</v>
      </c>
      <c r="D72" s="28">
        <f t="shared" ref="D72:D78" si="17">B72*C72</f>
        <v>0</v>
      </c>
      <c r="E72" s="29"/>
      <c r="F72" s="63" t="str">
        <f>IFERROR(VLOOKUP(A72,'Insumos '!A:G,7,0),"")</f>
        <v/>
      </c>
      <c r="G72" s="30">
        <f t="shared" ref="G72:G78" si="18">IFERROR(B72*F72, 0)</f>
        <v>0</v>
      </c>
      <c r="H72" s="31">
        <f t="shared" ref="H72:H78" si="19">IFERROR(G72/$G$79, 0)</f>
        <v>0</v>
      </c>
      <c r="I72" s="64" t="str">
        <f>IFERROR(TRIM(VLOOKUP(A72,'Insumos '!$A$2:$E$313,5,0)&amp;""),"")</f>
        <v/>
      </c>
    </row>
    <row r="73" spans="1:9" ht="15.75" customHeight="1" x14ac:dyDescent="0.2">
      <c r="A73" s="22"/>
      <c r="B73" s="24">
        <f t="shared" si="16"/>
        <v>0</v>
      </c>
      <c r="C73" s="26">
        <f>IF(I73="Un",0,IFERROR(VLOOKUP(A73,'Mermas por producto'!$A$2:$B$313,2,0),0))</f>
        <v>0</v>
      </c>
      <c r="D73" s="28">
        <f t="shared" si="17"/>
        <v>0</v>
      </c>
      <c r="E73" s="29"/>
      <c r="F73" s="63" t="str">
        <f>IFERROR(VLOOKUP(A73,'Insumos '!A:G,7,0),"")</f>
        <v/>
      </c>
      <c r="G73" s="30">
        <f t="shared" si="18"/>
        <v>0</v>
      </c>
      <c r="H73" s="31">
        <f t="shared" si="19"/>
        <v>0</v>
      </c>
      <c r="I73" s="64" t="str">
        <f>IFERROR(TRIM(VLOOKUP(A73,'Insumos '!$A$2:$E$313,5,0)&amp;""),"")</f>
        <v/>
      </c>
    </row>
    <row r="74" spans="1:9" ht="15.75" customHeight="1" x14ac:dyDescent="0.2">
      <c r="A74" s="22"/>
      <c r="B74" s="24">
        <f t="shared" si="16"/>
        <v>0</v>
      </c>
      <c r="C74" s="26">
        <f>IF(I74="Un",0,IFERROR(VLOOKUP(A74,'Mermas por producto'!$A$2:$B$313,2,0),0))</f>
        <v>0</v>
      </c>
      <c r="D74" s="28">
        <f t="shared" si="17"/>
        <v>0</v>
      </c>
      <c r="E74" s="29"/>
      <c r="F74" s="63" t="str">
        <f>IFERROR(VLOOKUP(A74,'Insumos '!A:G,7,0),"")</f>
        <v/>
      </c>
      <c r="G74" s="30">
        <f t="shared" si="18"/>
        <v>0</v>
      </c>
      <c r="H74" s="31">
        <f t="shared" si="19"/>
        <v>0</v>
      </c>
      <c r="I74" s="64" t="str">
        <f>IFERROR(TRIM(VLOOKUP(A74,'Insumos '!$A$2:$E$313,5,0)&amp;""),"")</f>
        <v/>
      </c>
    </row>
    <row r="75" spans="1:9" ht="15.75" customHeight="1" x14ac:dyDescent="0.2">
      <c r="A75" s="22"/>
      <c r="B75" s="24">
        <f t="shared" si="16"/>
        <v>0</v>
      </c>
      <c r="C75" s="26">
        <f>IF(I75="Un",0,IFERROR(VLOOKUP(A75,'Mermas por producto'!$A$2:$B$313,2,0),0))</f>
        <v>0</v>
      </c>
      <c r="D75" s="28">
        <f t="shared" si="17"/>
        <v>0</v>
      </c>
      <c r="E75" s="29"/>
      <c r="F75" s="63" t="str">
        <f>IFERROR(VLOOKUP(A75,'Insumos '!A:G,7,0),"")</f>
        <v/>
      </c>
      <c r="G75" s="30">
        <f t="shared" si="18"/>
        <v>0</v>
      </c>
      <c r="H75" s="31">
        <f t="shared" si="19"/>
        <v>0</v>
      </c>
      <c r="I75" s="64" t="str">
        <f>IFERROR(TRIM(VLOOKUP(A75,'Insumos '!$A$2:$E$313,5,0)&amp;""),"")</f>
        <v/>
      </c>
    </row>
    <row r="76" spans="1:9" ht="15.75" customHeight="1" x14ac:dyDescent="0.2">
      <c r="A76" s="22"/>
      <c r="B76" s="24">
        <f t="shared" si="16"/>
        <v>0</v>
      </c>
      <c r="C76" s="26">
        <f>IF(I76="Un",0,IFERROR(VLOOKUP(A76,'Mermas por producto'!$A$2:$B$313,2,0),0))</f>
        <v>0</v>
      </c>
      <c r="D76" s="28">
        <f t="shared" si="17"/>
        <v>0</v>
      </c>
      <c r="E76" s="29"/>
      <c r="F76" s="63" t="str">
        <f>IFERROR(VLOOKUP(A76,'Insumos '!A:G,7,0),"")</f>
        <v/>
      </c>
      <c r="G76" s="30">
        <f t="shared" si="18"/>
        <v>0</v>
      </c>
      <c r="H76" s="31">
        <f t="shared" si="19"/>
        <v>0</v>
      </c>
      <c r="I76" s="64" t="str">
        <f>IFERROR(TRIM(VLOOKUP(A76,'Insumos '!$A$2:$E$313,5,0)&amp;""),"")</f>
        <v/>
      </c>
    </row>
    <row r="77" spans="1:9" ht="15.75" customHeight="1" x14ac:dyDescent="0.2">
      <c r="A77" s="22"/>
      <c r="B77" s="24">
        <f t="shared" si="16"/>
        <v>0</v>
      </c>
      <c r="C77" s="26">
        <f>IF(I77="Un",0,IFERROR(VLOOKUP(A77,'Mermas por producto'!$A$2:$B$313,2,0),0))</f>
        <v>0</v>
      </c>
      <c r="D77" s="28">
        <f t="shared" si="17"/>
        <v>0</v>
      </c>
      <c r="E77" s="29"/>
      <c r="F77" s="63" t="str">
        <f>IFERROR(VLOOKUP(A77,'Insumos '!$A$2:$G$313,7,0),"")</f>
        <v/>
      </c>
      <c r="G77" s="30">
        <f t="shared" si="18"/>
        <v>0</v>
      </c>
      <c r="H77" s="31">
        <f t="shared" si="19"/>
        <v>0</v>
      </c>
      <c r="I77" s="64" t="str">
        <f>IFERROR(TRIM(VLOOKUP(A77,'Insumos '!$A$2:$E$313,5,0)&amp;""),"")</f>
        <v/>
      </c>
    </row>
    <row r="78" spans="1:9" ht="15.75" customHeight="1" x14ac:dyDescent="0.2">
      <c r="A78" s="22"/>
      <c r="B78" s="24">
        <f t="shared" si="16"/>
        <v>0</v>
      </c>
      <c r="C78" s="26">
        <f>IF(I78="Un",0,IFERROR(VLOOKUP(A78,'Mermas por producto'!$A$2:$B$313,2,0),0))</f>
        <v>0</v>
      </c>
      <c r="D78" s="28">
        <f t="shared" si="17"/>
        <v>0</v>
      </c>
      <c r="E78" s="29"/>
      <c r="F78" s="63" t="str">
        <f>IFERROR(VLOOKUP(A78,'Insumos '!A:G,7,0),"")</f>
        <v/>
      </c>
      <c r="G78" s="30">
        <f t="shared" si="18"/>
        <v>0</v>
      </c>
      <c r="H78" s="31">
        <f t="shared" si="19"/>
        <v>0</v>
      </c>
      <c r="I78" s="64" t="str">
        <f>IFERROR(TRIM(VLOOKUP(A78,'Insumos '!$A$2:$E$313,5,0)&amp;""),"")</f>
        <v/>
      </c>
    </row>
    <row r="79" spans="1:9" ht="15.75" customHeight="1" x14ac:dyDescent="0.2">
      <c r="A79" s="32" t="s">
        <v>412</v>
      </c>
      <c r="B79" s="33">
        <f>SUMIF(I72:I78,"&lt;&gt;Un",B72:B78)</f>
        <v>0</v>
      </c>
      <c r="C79" s="32" t="s">
        <v>413</v>
      </c>
      <c r="D79" s="34">
        <f>SUMIF(I72:I78,"&lt;&gt;Un",D72:D78)</f>
        <v>0</v>
      </c>
      <c r="E79" s="33">
        <f>SUMIF(I72:I78,"&lt;&gt;Un",E72:E78)</f>
        <v>0</v>
      </c>
      <c r="F79" s="35" t="s">
        <v>414</v>
      </c>
      <c r="G79" s="36">
        <f>SUM(G72:G78)</f>
        <v>0</v>
      </c>
      <c r="H79" s="37">
        <f>SUM(H72:H78)</f>
        <v>0</v>
      </c>
    </row>
    <row r="80" spans="1:9" ht="15.75" customHeight="1" x14ac:dyDescent="0.2">
      <c r="F80" s="4" t="s">
        <v>47</v>
      </c>
      <c r="G80" s="65">
        <f>IFERROR(G79/E79, 0)</f>
        <v>0</v>
      </c>
    </row>
    <row r="81" spans="1:9" ht="15.75" customHeight="1" x14ac:dyDescent="0.2">
      <c r="F81" s="4" t="s">
        <v>57</v>
      </c>
      <c r="G81" s="38">
        <f>IFERROR(G79/B70, 0)</f>
        <v>0</v>
      </c>
    </row>
    <row r="83" spans="1:9" ht="15.75" customHeight="1" x14ac:dyDescent="0.2">
      <c r="A83" s="77" t="s">
        <v>419</v>
      </c>
      <c r="B83" s="68"/>
      <c r="C83" s="68"/>
      <c r="D83" s="68"/>
      <c r="E83" s="68"/>
      <c r="F83" s="68"/>
      <c r="G83" s="68"/>
      <c r="H83" s="69"/>
    </row>
    <row r="84" spans="1:9" ht="15.75" customHeight="1" x14ac:dyDescent="0.2">
      <c r="A84" s="45" t="s">
        <v>400</v>
      </c>
      <c r="B84" s="76"/>
      <c r="C84" s="68"/>
      <c r="D84" s="69"/>
      <c r="E84" s="77" t="s">
        <v>401</v>
      </c>
      <c r="F84" s="69"/>
      <c r="G84" s="78">
        <v>0</v>
      </c>
      <c r="H84" s="69"/>
    </row>
    <row r="85" spans="1:9" ht="15.75" customHeight="1" x14ac:dyDescent="0.2">
      <c r="A85" s="5" t="s">
        <v>27</v>
      </c>
      <c r="B85" s="79"/>
      <c r="C85" s="80"/>
      <c r="D85" s="81"/>
      <c r="E85" s="77" t="s">
        <v>402</v>
      </c>
      <c r="F85" s="69"/>
      <c r="G85" s="75">
        <f>E95</f>
        <v>0</v>
      </c>
      <c r="H85" s="69"/>
    </row>
    <row r="86" spans="1:9" ht="15.75" customHeight="1" x14ac:dyDescent="0.2">
      <c r="A86" s="5" t="s">
        <v>403</v>
      </c>
      <c r="B86" s="76" t="s">
        <v>404</v>
      </c>
      <c r="C86" s="68"/>
      <c r="D86" s="69"/>
      <c r="E86" s="77" t="s">
        <v>35</v>
      </c>
      <c r="F86" s="69"/>
      <c r="G86" s="77">
        <f>IFERROR(G85/B86, 0)</f>
        <v>0</v>
      </c>
      <c r="H86" s="69"/>
    </row>
    <row r="87" spans="1:9" ht="15.75" customHeight="1" x14ac:dyDescent="0.2">
      <c r="A87" s="17" t="s">
        <v>405</v>
      </c>
      <c r="B87" s="17" t="s">
        <v>406</v>
      </c>
      <c r="C87" s="17" t="s">
        <v>41</v>
      </c>
      <c r="D87" s="17" t="s">
        <v>407</v>
      </c>
      <c r="E87" s="17" t="s">
        <v>408</v>
      </c>
      <c r="F87" s="17" t="s">
        <v>47</v>
      </c>
      <c r="G87" s="17" t="s">
        <v>409</v>
      </c>
      <c r="H87" s="17" t="s">
        <v>410</v>
      </c>
      <c r="I87" s="17" t="s">
        <v>411</v>
      </c>
    </row>
    <row r="88" spans="1:9" ht="15.75" customHeight="1" x14ac:dyDescent="0.2">
      <c r="A88" s="22"/>
      <c r="B88" s="24">
        <f t="shared" ref="B88:B94" si="20">E88/(100%-C88)</f>
        <v>0</v>
      </c>
      <c r="C88" s="26">
        <f>IF(I88="Un",0,IFERROR(VLOOKUP(A88,'Mermas por producto'!$A$2:$B$313,2,0),0))</f>
        <v>0</v>
      </c>
      <c r="D88" s="28">
        <f t="shared" ref="D88:D94" si="21">B88*C88</f>
        <v>0</v>
      </c>
      <c r="E88" s="29"/>
      <c r="F88" s="63" t="str">
        <f>IFERROR(VLOOKUP(A88,'Insumos '!A:G,7,0),"")</f>
        <v/>
      </c>
      <c r="G88" s="30">
        <f t="shared" ref="G88:G94" si="22">IFERROR(B88*F88, 0)</f>
        <v>0</v>
      </c>
      <c r="H88" s="31">
        <f t="shared" ref="H88:H94" si="23">IFERROR(G88/$G$95, 0)</f>
        <v>0</v>
      </c>
      <c r="I88" s="64" t="str">
        <f>IFERROR(TRIM(VLOOKUP(A88,'Insumos '!$A$2:$E$313,5,0)&amp;""),"")</f>
        <v/>
      </c>
    </row>
    <row r="89" spans="1:9" ht="15.75" customHeight="1" x14ac:dyDescent="0.2">
      <c r="A89" s="22"/>
      <c r="B89" s="24">
        <f t="shared" si="20"/>
        <v>0</v>
      </c>
      <c r="C89" s="26">
        <f>IF(I89="Un",0,IFERROR(VLOOKUP(A89,'Mermas por producto'!$A$2:$B$313,2,0),0))</f>
        <v>0</v>
      </c>
      <c r="D89" s="28">
        <f t="shared" si="21"/>
        <v>0</v>
      </c>
      <c r="E89" s="29"/>
      <c r="F89" s="63" t="str">
        <f>IFERROR(VLOOKUP(A89,'Insumos '!A:G,7,0),"")</f>
        <v/>
      </c>
      <c r="G89" s="30">
        <f t="shared" si="22"/>
        <v>0</v>
      </c>
      <c r="H89" s="31">
        <f t="shared" si="23"/>
        <v>0</v>
      </c>
      <c r="I89" s="64" t="str">
        <f>IFERROR(TRIM(VLOOKUP(A89,'Insumos '!$A$2:$E$313,5,0)&amp;""),"")</f>
        <v/>
      </c>
    </row>
    <row r="90" spans="1:9" ht="15.75" customHeight="1" x14ac:dyDescent="0.2">
      <c r="A90" s="22"/>
      <c r="B90" s="24">
        <f t="shared" si="20"/>
        <v>0</v>
      </c>
      <c r="C90" s="26">
        <f>IF(I90="Un",0,IFERROR(VLOOKUP(A90,'Mermas por producto'!$A$2:$B$313,2,0),0))</f>
        <v>0</v>
      </c>
      <c r="D90" s="28">
        <f t="shared" si="21"/>
        <v>0</v>
      </c>
      <c r="E90" s="29"/>
      <c r="F90" s="63" t="str">
        <f>IFERROR(VLOOKUP(A90,'Insumos '!A:G,7,0),"")</f>
        <v/>
      </c>
      <c r="G90" s="30">
        <f t="shared" si="22"/>
        <v>0</v>
      </c>
      <c r="H90" s="31">
        <f t="shared" si="23"/>
        <v>0</v>
      </c>
      <c r="I90" s="64" t="str">
        <f>IFERROR(TRIM(VLOOKUP(A90,'Insumos '!$A$2:$E$313,5,0)&amp;""),"")</f>
        <v/>
      </c>
    </row>
    <row r="91" spans="1:9" ht="15.75" customHeight="1" x14ac:dyDescent="0.2">
      <c r="A91" s="22"/>
      <c r="B91" s="24">
        <f t="shared" si="20"/>
        <v>0</v>
      </c>
      <c r="C91" s="26">
        <f>IF(I91="Un",0,IFERROR(VLOOKUP(A91,'Mermas por producto'!$A$2:$B$313,2,0),0))</f>
        <v>0</v>
      </c>
      <c r="D91" s="28">
        <f t="shared" si="21"/>
        <v>0</v>
      </c>
      <c r="E91" s="29"/>
      <c r="F91" s="63" t="str">
        <f>IFERROR(VLOOKUP(A91,'Insumos '!A:G,7,0),"")</f>
        <v/>
      </c>
      <c r="G91" s="30">
        <f t="shared" si="22"/>
        <v>0</v>
      </c>
      <c r="H91" s="31">
        <f t="shared" si="23"/>
        <v>0</v>
      </c>
      <c r="I91" s="64" t="str">
        <f>IFERROR(TRIM(VLOOKUP(A91,'Insumos '!$A$2:$E$313,5,0)&amp;""),"")</f>
        <v/>
      </c>
    </row>
    <row r="92" spans="1:9" ht="15.75" customHeight="1" x14ac:dyDescent="0.2">
      <c r="A92" s="22"/>
      <c r="B92" s="24">
        <f t="shared" si="20"/>
        <v>0</v>
      </c>
      <c r="C92" s="26">
        <f>IF(I92="Un",0,IFERROR(VLOOKUP(A92,'Mermas por producto'!$A$2:$B$313,2,0),0))</f>
        <v>0</v>
      </c>
      <c r="D92" s="28">
        <f t="shared" si="21"/>
        <v>0</v>
      </c>
      <c r="E92" s="29"/>
      <c r="F92" s="63" t="str">
        <f>IFERROR(VLOOKUP(A92,'Insumos '!A:G,7,0),"")</f>
        <v/>
      </c>
      <c r="G92" s="30">
        <f t="shared" si="22"/>
        <v>0</v>
      </c>
      <c r="H92" s="31">
        <f t="shared" si="23"/>
        <v>0</v>
      </c>
      <c r="I92" s="64" t="str">
        <f>IFERROR(TRIM(VLOOKUP(A92,'Insumos '!$A$2:$E$313,5,0)&amp;""),"")</f>
        <v/>
      </c>
    </row>
    <row r="93" spans="1:9" ht="15.75" customHeight="1" x14ac:dyDescent="0.2">
      <c r="A93" s="22"/>
      <c r="B93" s="24">
        <f t="shared" si="20"/>
        <v>0</v>
      </c>
      <c r="C93" s="26">
        <f>IF(I93="Un",0,IFERROR(VLOOKUP(A93,'Mermas por producto'!$A$2:$B$313,2,0),0))</f>
        <v>0</v>
      </c>
      <c r="D93" s="28">
        <f t="shared" si="21"/>
        <v>0</v>
      </c>
      <c r="E93" s="29"/>
      <c r="F93" s="63" t="str">
        <f>IFERROR(VLOOKUP(A93,'Insumos '!$A$2:$G$313,7,0),"")</f>
        <v/>
      </c>
      <c r="G93" s="30">
        <f t="shared" si="22"/>
        <v>0</v>
      </c>
      <c r="H93" s="31">
        <f t="shared" si="23"/>
        <v>0</v>
      </c>
      <c r="I93" s="64" t="str">
        <f>IFERROR(TRIM(VLOOKUP(A93,'Insumos '!$A$2:$E$313,5,0)&amp;""),"")</f>
        <v/>
      </c>
    </row>
    <row r="94" spans="1:9" ht="15.75" customHeight="1" x14ac:dyDescent="0.2">
      <c r="A94" s="22"/>
      <c r="B94" s="24">
        <f t="shared" si="20"/>
        <v>0</v>
      </c>
      <c r="C94" s="26">
        <f>IF(I94="Un",0,IFERROR(VLOOKUP(A94,'Mermas por producto'!$A$2:$B$313,2,0),0))</f>
        <v>0</v>
      </c>
      <c r="D94" s="28">
        <f t="shared" si="21"/>
        <v>0</v>
      </c>
      <c r="E94" s="29"/>
      <c r="F94" s="63" t="str">
        <f>IFERROR(VLOOKUP(A94,'Insumos '!A:G,7,0),"")</f>
        <v/>
      </c>
      <c r="G94" s="30">
        <f t="shared" si="22"/>
        <v>0</v>
      </c>
      <c r="H94" s="31">
        <f t="shared" si="23"/>
        <v>0</v>
      </c>
      <c r="I94" s="64" t="str">
        <f>IFERROR(TRIM(VLOOKUP(A94,'Insumos '!$A$2:$E$313,5,0)&amp;""),"")</f>
        <v/>
      </c>
    </row>
    <row r="95" spans="1:9" ht="15.75" customHeight="1" x14ac:dyDescent="0.2">
      <c r="A95" s="32" t="s">
        <v>412</v>
      </c>
      <c r="B95" s="33">
        <f>SUMIF(I88:I94,"&lt;&gt;Un",B88:B94)</f>
        <v>0</v>
      </c>
      <c r="C95" s="32" t="s">
        <v>413</v>
      </c>
      <c r="D95" s="34">
        <f>SUMIF(I88:I94,"&lt;&gt;Un",D88:D94)</f>
        <v>0</v>
      </c>
      <c r="E95" s="33">
        <f>SUMIF(I88:I94,"&lt;&gt;Un",E88:E94)</f>
        <v>0</v>
      </c>
      <c r="F95" s="35" t="s">
        <v>414</v>
      </c>
      <c r="G95" s="36">
        <f>SUM(G88:G94)</f>
        <v>0</v>
      </c>
      <c r="H95" s="37">
        <f>SUM(H88:H94)</f>
        <v>0</v>
      </c>
    </row>
    <row r="96" spans="1:9" ht="15.75" customHeight="1" x14ac:dyDescent="0.2">
      <c r="F96" s="4" t="s">
        <v>47</v>
      </c>
      <c r="G96" s="65">
        <f>IFERROR(G95/E95, 0)</f>
        <v>0</v>
      </c>
    </row>
    <row r="97" spans="1:9" ht="15.75" customHeight="1" x14ac:dyDescent="0.2">
      <c r="F97" s="4" t="s">
        <v>57</v>
      </c>
      <c r="G97" s="38">
        <f>IFERROR(G95/B86, 0)</f>
        <v>0</v>
      </c>
    </row>
    <row r="99" spans="1:9" ht="15.75" customHeight="1" x14ac:dyDescent="0.2">
      <c r="A99" s="77" t="s">
        <v>420</v>
      </c>
      <c r="B99" s="68"/>
      <c r="C99" s="68"/>
      <c r="D99" s="68"/>
      <c r="E99" s="68"/>
      <c r="F99" s="68"/>
      <c r="G99" s="68"/>
      <c r="H99" s="69"/>
    </row>
    <row r="100" spans="1:9" ht="15.75" customHeight="1" x14ac:dyDescent="0.2">
      <c r="A100" s="45" t="s">
        <v>400</v>
      </c>
      <c r="B100" s="76"/>
      <c r="C100" s="68"/>
      <c r="D100" s="69"/>
      <c r="E100" s="77" t="s">
        <v>401</v>
      </c>
      <c r="F100" s="69"/>
      <c r="G100" s="78">
        <v>0</v>
      </c>
      <c r="H100" s="69"/>
    </row>
    <row r="101" spans="1:9" ht="15.75" customHeight="1" x14ac:dyDescent="0.2">
      <c r="A101" s="5" t="s">
        <v>27</v>
      </c>
      <c r="B101" s="79"/>
      <c r="C101" s="80"/>
      <c r="D101" s="81"/>
      <c r="E101" s="77" t="s">
        <v>402</v>
      </c>
      <c r="F101" s="69"/>
      <c r="G101" s="75">
        <f>E111</f>
        <v>0</v>
      </c>
      <c r="H101" s="69"/>
    </row>
    <row r="102" spans="1:9" ht="15.75" customHeight="1" x14ac:dyDescent="0.2">
      <c r="A102" s="5" t="s">
        <v>403</v>
      </c>
      <c r="B102" s="76" t="s">
        <v>404</v>
      </c>
      <c r="C102" s="68"/>
      <c r="D102" s="69"/>
      <c r="E102" s="77" t="s">
        <v>35</v>
      </c>
      <c r="F102" s="69"/>
      <c r="G102" s="77">
        <f>IFERROR(G101/B102, 0)</f>
        <v>0</v>
      </c>
      <c r="H102" s="69"/>
    </row>
    <row r="103" spans="1:9" ht="15.75" customHeight="1" x14ac:dyDescent="0.2">
      <c r="A103" s="17" t="s">
        <v>405</v>
      </c>
      <c r="B103" s="17" t="s">
        <v>406</v>
      </c>
      <c r="C103" s="17" t="s">
        <v>41</v>
      </c>
      <c r="D103" s="17" t="s">
        <v>407</v>
      </c>
      <c r="E103" s="17" t="s">
        <v>408</v>
      </c>
      <c r="F103" s="17" t="s">
        <v>47</v>
      </c>
      <c r="G103" s="17" t="s">
        <v>409</v>
      </c>
      <c r="H103" s="17" t="s">
        <v>410</v>
      </c>
      <c r="I103" s="17" t="s">
        <v>411</v>
      </c>
    </row>
    <row r="104" spans="1:9" ht="15.75" customHeight="1" x14ac:dyDescent="0.2">
      <c r="A104" s="22"/>
      <c r="B104" s="24">
        <f t="shared" ref="B104:B110" si="24">E104/(100%-C104)</f>
        <v>0</v>
      </c>
      <c r="C104" s="26">
        <f>IF(I104="Un",0,IFERROR(VLOOKUP(A104,'Mermas por producto'!$A$2:$B$313,2,0),0))</f>
        <v>0</v>
      </c>
      <c r="D104" s="28">
        <f t="shared" ref="D104:D110" si="25">B104*C104</f>
        <v>0</v>
      </c>
      <c r="E104" s="29"/>
      <c r="F104" s="63" t="str">
        <f>IFERROR(VLOOKUP(A104,'Insumos '!A:G,7,0),"")</f>
        <v/>
      </c>
      <c r="G104" s="30">
        <f t="shared" ref="G104:G110" si="26">IFERROR(B104*F104, 0)</f>
        <v>0</v>
      </c>
      <c r="H104" s="31">
        <f t="shared" ref="H104:H110" si="27">IFERROR(G104/$G$111, 0)</f>
        <v>0</v>
      </c>
      <c r="I104" s="64" t="str">
        <f>IFERROR(TRIM(VLOOKUP(A104,'Insumos '!$A$2:$E$313,5,0)&amp;""),"")</f>
        <v/>
      </c>
    </row>
    <row r="105" spans="1:9" ht="15.75" customHeight="1" x14ac:dyDescent="0.2">
      <c r="A105" s="22"/>
      <c r="B105" s="24">
        <f t="shared" si="24"/>
        <v>0</v>
      </c>
      <c r="C105" s="26">
        <f>IF(I105="Un",0,IFERROR(VLOOKUP(A105,'Mermas por producto'!$A$2:$B$313,2,0),0))</f>
        <v>0</v>
      </c>
      <c r="D105" s="28">
        <f t="shared" si="25"/>
        <v>0</v>
      </c>
      <c r="E105" s="29"/>
      <c r="F105" s="63" t="str">
        <f>IFERROR(VLOOKUP(A105,'Insumos '!A:G,7,0),"")</f>
        <v/>
      </c>
      <c r="G105" s="30">
        <f t="shared" si="26"/>
        <v>0</v>
      </c>
      <c r="H105" s="31">
        <f t="shared" si="27"/>
        <v>0</v>
      </c>
      <c r="I105" s="64" t="str">
        <f>IFERROR(TRIM(VLOOKUP(A105,'Insumos '!$A$2:$E$313,5,0)&amp;""),"")</f>
        <v/>
      </c>
    </row>
    <row r="106" spans="1:9" ht="15.75" customHeight="1" x14ac:dyDescent="0.2">
      <c r="A106" s="22"/>
      <c r="B106" s="24">
        <f t="shared" si="24"/>
        <v>0</v>
      </c>
      <c r="C106" s="26">
        <f>IF(I106="Un",0,IFERROR(VLOOKUP(A106,'Mermas por producto'!$A$2:$B$313,2,0),0))</f>
        <v>0</v>
      </c>
      <c r="D106" s="28">
        <f t="shared" si="25"/>
        <v>0</v>
      </c>
      <c r="E106" s="29"/>
      <c r="F106" s="63" t="str">
        <f>IFERROR(VLOOKUP(A106,'Insumos '!A:G,7,0),"")</f>
        <v/>
      </c>
      <c r="G106" s="30">
        <f t="shared" si="26"/>
        <v>0</v>
      </c>
      <c r="H106" s="31">
        <f t="shared" si="27"/>
        <v>0</v>
      </c>
      <c r="I106" s="64" t="str">
        <f>IFERROR(TRIM(VLOOKUP(A106,'Insumos '!$A$2:$E$313,5,0)&amp;""),"")</f>
        <v/>
      </c>
    </row>
    <row r="107" spans="1:9" ht="15.75" customHeight="1" x14ac:dyDescent="0.2">
      <c r="A107" s="22"/>
      <c r="B107" s="24">
        <f t="shared" si="24"/>
        <v>0</v>
      </c>
      <c r="C107" s="26">
        <f>IF(I107="Un",0,IFERROR(VLOOKUP(A107,'Mermas por producto'!$A$2:$B$313,2,0),0))</f>
        <v>0</v>
      </c>
      <c r="D107" s="28">
        <f t="shared" si="25"/>
        <v>0</v>
      </c>
      <c r="E107" s="29"/>
      <c r="F107" s="63" t="str">
        <f>IFERROR(VLOOKUP(A107,'Insumos '!$A$2:$G$313,7,0),"")</f>
        <v/>
      </c>
      <c r="G107" s="30">
        <f t="shared" si="26"/>
        <v>0</v>
      </c>
      <c r="H107" s="31">
        <f t="shared" si="27"/>
        <v>0</v>
      </c>
      <c r="I107" s="64" t="str">
        <f>IFERROR(TRIM(VLOOKUP(A107,'Insumos '!$A$2:$E$313,5,0)&amp;""),"")</f>
        <v/>
      </c>
    </row>
    <row r="108" spans="1:9" ht="15.75" customHeight="1" x14ac:dyDescent="0.2">
      <c r="A108" s="22"/>
      <c r="B108" s="24">
        <f t="shared" si="24"/>
        <v>0</v>
      </c>
      <c r="C108" s="26">
        <f>IF(I108="Un",0,IFERROR(VLOOKUP(A108,'Mermas por producto'!$A$2:$B$313,2,0),0))</f>
        <v>0</v>
      </c>
      <c r="D108" s="28">
        <f t="shared" si="25"/>
        <v>0</v>
      </c>
      <c r="E108" s="29"/>
      <c r="F108" s="63" t="str">
        <f>IFERROR(VLOOKUP(A108,'Insumos '!A:G,7,0),"")</f>
        <v/>
      </c>
      <c r="G108" s="30">
        <f t="shared" si="26"/>
        <v>0</v>
      </c>
      <c r="H108" s="31">
        <f t="shared" si="27"/>
        <v>0</v>
      </c>
      <c r="I108" s="64" t="str">
        <f>IFERROR(TRIM(VLOOKUP(A108,'Insumos '!$A$2:$E$313,5,0)&amp;""),"")</f>
        <v/>
      </c>
    </row>
    <row r="109" spans="1:9" ht="15.75" customHeight="1" x14ac:dyDescent="0.2">
      <c r="A109" s="22"/>
      <c r="B109" s="24">
        <f t="shared" si="24"/>
        <v>0</v>
      </c>
      <c r="C109" s="26">
        <f>IF(I109="Un",0,IFERROR(VLOOKUP(A109,'Mermas por producto'!$A$2:$B$313,2,0),0))</f>
        <v>0</v>
      </c>
      <c r="D109" s="28">
        <f t="shared" si="25"/>
        <v>0</v>
      </c>
      <c r="E109" s="29"/>
      <c r="F109" s="63" t="str">
        <f>IFERROR(VLOOKUP(A109,'Insumos '!$A$2:$G$313,7,0),"")</f>
        <v/>
      </c>
      <c r="G109" s="30">
        <f t="shared" si="26"/>
        <v>0</v>
      </c>
      <c r="H109" s="31">
        <f t="shared" si="27"/>
        <v>0</v>
      </c>
      <c r="I109" s="64" t="str">
        <f>IFERROR(TRIM(VLOOKUP(A109,'Insumos '!$A$2:$E$313,5,0)&amp;""),"")</f>
        <v/>
      </c>
    </row>
    <row r="110" spans="1:9" ht="15.75" customHeight="1" x14ac:dyDescent="0.2">
      <c r="A110" s="22"/>
      <c r="B110" s="24">
        <f t="shared" si="24"/>
        <v>0</v>
      </c>
      <c r="C110" s="26">
        <f>IF(I110="Un",0,IFERROR(VLOOKUP(A110,'Mermas por producto'!$A$2:$B$313,2,0),0))</f>
        <v>0</v>
      </c>
      <c r="D110" s="28">
        <f t="shared" si="25"/>
        <v>0</v>
      </c>
      <c r="E110" s="29"/>
      <c r="F110" s="63" t="str">
        <f>IFERROR(VLOOKUP(A110,'Insumos '!A:G,7,0),"")</f>
        <v/>
      </c>
      <c r="G110" s="30">
        <f t="shared" si="26"/>
        <v>0</v>
      </c>
      <c r="H110" s="31">
        <f t="shared" si="27"/>
        <v>0</v>
      </c>
      <c r="I110" s="64" t="str">
        <f>IFERROR(TRIM(VLOOKUP(A110,'Insumos '!$A$2:$E$313,5,0)&amp;""),"")</f>
        <v/>
      </c>
    </row>
    <row r="111" spans="1:9" ht="15.75" customHeight="1" x14ac:dyDescent="0.2">
      <c r="A111" s="32" t="s">
        <v>412</v>
      </c>
      <c r="B111" s="33">
        <f>SUMIF(I104:I110,"&lt;&gt;Un",B104:B110)</f>
        <v>0</v>
      </c>
      <c r="C111" s="32" t="s">
        <v>413</v>
      </c>
      <c r="D111" s="34">
        <f>SUMIF(I104:I110,"&lt;&gt;Un",D104:D110)</f>
        <v>0</v>
      </c>
      <c r="E111" s="33">
        <f>SUMIF(I104:I110,"&lt;&gt;Un",E104:E110)</f>
        <v>0</v>
      </c>
      <c r="F111" s="35" t="s">
        <v>414</v>
      </c>
      <c r="G111" s="36">
        <f>SUM(G104:G110)</f>
        <v>0</v>
      </c>
      <c r="H111" s="37">
        <f>SUM(H104:H110)</f>
        <v>0</v>
      </c>
    </row>
    <row r="112" spans="1:9" ht="15.75" customHeight="1" x14ac:dyDescent="0.2">
      <c r="F112" s="4" t="s">
        <v>47</v>
      </c>
      <c r="G112" s="65">
        <f>IFERROR(G111/E111, 0)</f>
        <v>0</v>
      </c>
    </row>
    <row r="113" spans="1:9" ht="15.75" customHeight="1" x14ac:dyDescent="0.2">
      <c r="F113" s="4" t="s">
        <v>57</v>
      </c>
      <c r="G113" s="38">
        <f>IFERROR(G111/B102, 0)</f>
        <v>0</v>
      </c>
    </row>
    <row r="115" spans="1:9" ht="15.75" customHeight="1" x14ac:dyDescent="0.2">
      <c r="A115" s="77" t="s">
        <v>421</v>
      </c>
      <c r="B115" s="68"/>
      <c r="C115" s="68"/>
      <c r="D115" s="68"/>
      <c r="E115" s="68"/>
      <c r="F115" s="68"/>
      <c r="G115" s="68"/>
      <c r="H115" s="69"/>
    </row>
    <row r="116" spans="1:9" ht="15.75" customHeight="1" x14ac:dyDescent="0.2">
      <c r="A116" s="45" t="s">
        <v>400</v>
      </c>
      <c r="B116" s="76"/>
      <c r="C116" s="68"/>
      <c r="D116" s="69"/>
      <c r="E116" s="77" t="s">
        <v>401</v>
      </c>
      <c r="F116" s="69"/>
      <c r="G116" s="78">
        <v>0</v>
      </c>
      <c r="H116" s="69"/>
    </row>
    <row r="117" spans="1:9" ht="15.75" customHeight="1" x14ac:dyDescent="0.2">
      <c r="A117" s="5" t="s">
        <v>27</v>
      </c>
      <c r="B117" s="79"/>
      <c r="C117" s="80"/>
      <c r="D117" s="81"/>
      <c r="E117" s="77" t="s">
        <v>402</v>
      </c>
      <c r="F117" s="69"/>
      <c r="G117" s="75">
        <f>E127</f>
        <v>0</v>
      </c>
      <c r="H117" s="69"/>
    </row>
    <row r="118" spans="1:9" ht="15.75" customHeight="1" x14ac:dyDescent="0.2">
      <c r="A118" s="5" t="s">
        <v>403</v>
      </c>
      <c r="B118" s="76" t="s">
        <v>404</v>
      </c>
      <c r="C118" s="68"/>
      <c r="D118" s="69"/>
      <c r="E118" s="77" t="s">
        <v>35</v>
      </c>
      <c r="F118" s="69"/>
      <c r="G118" s="77">
        <f>IFERROR(G117/B118, 0)</f>
        <v>0</v>
      </c>
      <c r="H118" s="69"/>
    </row>
    <row r="119" spans="1:9" ht="15.75" customHeight="1" x14ac:dyDescent="0.2">
      <c r="A119" s="17" t="s">
        <v>405</v>
      </c>
      <c r="B119" s="17" t="s">
        <v>406</v>
      </c>
      <c r="C119" s="17" t="s">
        <v>41</v>
      </c>
      <c r="D119" s="17" t="s">
        <v>407</v>
      </c>
      <c r="E119" s="17" t="s">
        <v>408</v>
      </c>
      <c r="F119" s="17" t="s">
        <v>47</v>
      </c>
      <c r="G119" s="17" t="s">
        <v>409</v>
      </c>
      <c r="H119" s="17" t="s">
        <v>410</v>
      </c>
      <c r="I119" s="17" t="s">
        <v>411</v>
      </c>
    </row>
    <row r="120" spans="1:9" ht="15.75" customHeight="1" x14ac:dyDescent="0.2">
      <c r="A120" s="22"/>
      <c r="B120" s="24">
        <f t="shared" ref="B120:B126" si="28">E120/(100%-C120)</f>
        <v>0</v>
      </c>
      <c r="C120" s="26">
        <f>IF(I120="Un",0,IFERROR(VLOOKUP(A120,'Mermas por producto'!$A$2:$B$313,2,0),0))</f>
        <v>0</v>
      </c>
      <c r="D120" s="28">
        <f t="shared" ref="D120:D126" si="29">B120*C120</f>
        <v>0</v>
      </c>
      <c r="E120" s="29"/>
      <c r="F120" s="63" t="str">
        <f>IFERROR(VLOOKUP(A120,'Insumos '!A:G,7,0),"")</f>
        <v/>
      </c>
      <c r="G120" s="30">
        <f t="shared" ref="G120:G126" si="30">IFERROR(B120*F120, 0)</f>
        <v>0</v>
      </c>
      <c r="H120" s="31">
        <f t="shared" ref="H120:H126" si="31">IFERROR(G120/$G$127, 0)</f>
        <v>0</v>
      </c>
      <c r="I120" s="64" t="str">
        <f>IFERROR(TRIM(VLOOKUP(A120,'Insumos '!$A$2:$E$313,5,0)&amp;""),"")</f>
        <v/>
      </c>
    </row>
    <row r="121" spans="1:9" ht="15.75" customHeight="1" x14ac:dyDescent="0.2">
      <c r="A121" s="22"/>
      <c r="B121" s="24">
        <f t="shared" si="28"/>
        <v>0</v>
      </c>
      <c r="C121" s="26">
        <f>IF(I121="Un",0,IFERROR(VLOOKUP(A121,'Mermas por producto'!$A$2:$B$313,2,0),0))</f>
        <v>0</v>
      </c>
      <c r="D121" s="28">
        <f t="shared" si="29"/>
        <v>0</v>
      </c>
      <c r="E121" s="29"/>
      <c r="F121" s="63" t="str">
        <f>IFERROR(VLOOKUP(A121,'Insumos '!A:G,7,0),"")</f>
        <v/>
      </c>
      <c r="G121" s="30">
        <f t="shared" si="30"/>
        <v>0</v>
      </c>
      <c r="H121" s="31">
        <f t="shared" si="31"/>
        <v>0</v>
      </c>
      <c r="I121" s="64" t="str">
        <f>IFERROR(TRIM(VLOOKUP(A121,'Insumos '!$A$2:$E$313,5,0)&amp;""),"")</f>
        <v/>
      </c>
    </row>
    <row r="122" spans="1:9" ht="15.75" customHeight="1" x14ac:dyDescent="0.2">
      <c r="A122" s="22"/>
      <c r="B122" s="24">
        <f t="shared" si="28"/>
        <v>0</v>
      </c>
      <c r="C122" s="26">
        <f>IF(I122="Un",0,IFERROR(VLOOKUP(A122,'Mermas por producto'!$A$2:$B$313,2,0),0))</f>
        <v>0</v>
      </c>
      <c r="D122" s="28">
        <f t="shared" si="29"/>
        <v>0</v>
      </c>
      <c r="E122" s="29"/>
      <c r="F122" s="63" t="str">
        <f>IFERROR(VLOOKUP(A122,'Insumos '!A:G,7,0),"")</f>
        <v/>
      </c>
      <c r="G122" s="30">
        <f t="shared" si="30"/>
        <v>0</v>
      </c>
      <c r="H122" s="31">
        <f t="shared" si="31"/>
        <v>0</v>
      </c>
      <c r="I122" s="64" t="str">
        <f>IFERROR(TRIM(VLOOKUP(A122,'Insumos '!$A$2:$E$313,5,0)&amp;""),"")</f>
        <v/>
      </c>
    </row>
    <row r="123" spans="1:9" ht="15.75" customHeight="1" x14ac:dyDescent="0.2">
      <c r="A123" s="22"/>
      <c r="B123" s="24">
        <f t="shared" si="28"/>
        <v>0</v>
      </c>
      <c r="C123" s="26">
        <f>IF(I123="Un",0,IFERROR(VLOOKUP(A123,'Mermas por producto'!$A$2:$B$313,2,0),0))</f>
        <v>0</v>
      </c>
      <c r="D123" s="28">
        <f t="shared" si="29"/>
        <v>0</v>
      </c>
      <c r="E123" s="29"/>
      <c r="F123" s="63" t="str">
        <f>IFERROR(VLOOKUP(A123,'Insumos '!$A$2:$G$313,7,0),"")</f>
        <v/>
      </c>
      <c r="G123" s="30">
        <f t="shared" si="30"/>
        <v>0</v>
      </c>
      <c r="H123" s="31">
        <f t="shared" si="31"/>
        <v>0</v>
      </c>
      <c r="I123" s="64" t="str">
        <f>IFERROR(TRIM(VLOOKUP(A123,'Insumos '!$A$2:$E$313,5,0)&amp;""),"")</f>
        <v/>
      </c>
    </row>
    <row r="124" spans="1:9" ht="15.75" customHeight="1" x14ac:dyDescent="0.2">
      <c r="A124" s="22"/>
      <c r="B124" s="24">
        <f t="shared" si="28"/>
        <v>0</v>
      </c>
      <c r="C124" s="26">
        <f>IF(I124="Un",0,IFERROR(VLOOKUP(A124,'Mermas por producto'!$A$2:$B$313,2,0),0))</f>
        <v>0</v>
      </c>
      <c r="D124" s="28">
        <f t="shared" si="29"/>
        <v>0</v>
      </c>
      <c r="E124" s="29"/>
      <c r="F124" s="63" t="str">
        <f>IFERROR(VLOOKUP(A124,'Insumos '!A:G,7,0),"")</f>
        <v/>
      </c>
      <c r="G124" s="30">
        <f t="shared" si="30"/>
        <v>0</v>
      </c>
      <c r="H124" s="31">
        <f t="shared" si="31"/>
        <v>0</v>
      </c>
      <c r="I124" s="64" t="str">
        <f>IFERROR(TRIM(VLOOKUP(A124,'Insumos '!$A$2:$E$313,5,0)&amp;""),"")</f>
        <v/>
      </c>
    </row>
    <row r="125" spans="1:9" ht="15.75" customHeight="1" x14ac:dyDescent="0.2">
      <c r="A125" s="22"/>
      <c r="B125" s="24">
        <f t="shared" si="28"/>
        <v>0</v>
      </c>
      <c r="C125" s="26">
        <f>IF(I125="Un",0,IFERROR(VLOOKUP(A125,'Mermas por producto'!$A$2:$B$313,2,0),0))</f>
        <v>0</v>
      </c>
      <c r="D125" s="28">
        <f t="shared" si="29"/>
        <v>0</v>
      </c>
      <c r="E125" s="29"/>
      <c r="F125" s="63" t="str">
        <f>IFERROR(VLOOKUP(A125,'Insumos '!$A$2:$G$313,7,0),"")</f>
        <v/>
      </c>
      <c r="G125" s="30">
        <f t="shared" si="30"/>
        <v>0</v>
      </c>
      <c r="H125" s="31">
        <f t="shared" si="31"/>
        <v>0</v>
      </c>
      <c r="I125" s="64" t="str">
        <f>IFERROR(TRIM(VLOOKUP(A125,'Insumos '!$A$2:$E$313,5,0)&amp;""),"")</f>
        <v/>
      </c>
    </row>
    <row r="126" spans="1:9" ht="15.75" customHeight="1" x14ac:dyDescent="0.2">
      <c r="A126" s="22"/>
      <c r="B126" s="24">
        <f t="shared" si="28"/>
        <v>0</v>
      </c>
      <c r="C126" s="26">
        <f>IF(I126="Un",0,IFERROR(VLOOKUP(A126,'Mermas por producto'!$A$2:$B$313,2,0),0))</f>
        <v>0</v>
      </c>
      <c r="D126" s="28">
        <f t="shared" si="29"/>
        <v>0</v>
      </c>
      <c r="E126" s="29"/>
      <c r="F126" s="63" t="str">
        <f>IFERROR(VLOOKUP(A126,'Insumos '!A:G,7,0),"")</f>
        <v/>
      </c>
      <c r="G126" s="30">
        <f t="shared" si="30"/>
        <v>0</v>
      </c>
      <c r="H126" s="31">
        <f t="shared" si="31"/>
        <v>0</v>
      </c>
      <c r="I126" s="64" t="str">
        <f>IFERROR(TRIM(VLOOKUP(A126,'Insumos '!$A$2:$E$313,5,0)&amp;""),"")</f>
        <v/>
      </c>
    </row>
    <row r="127" spans="1:9" ht="15.75" customHeight="1" x14ac:dyDescent="0.2">
      <c r="A127" s="32" t="s">
        <v>412</v>
      </c>
      <c r="B127" s="33">
        <f>SUMIF(I120:I126,"&lt;&gt;Un",B120:B126)</f>
        <v>0</v>
      </c>
      <c r="C127" s="32" t="s">
        <v>413</v>
      </c>
      <c r="D127" s="34">
        <f>SUMIF(I120:I126,"&lt;&gt;Un",D120:D126)</f>
        <v>0</v>
      </c>
      <c r="E127" s="33">
        <f>SUMIF(I120:I126,"&lt;&gt;Un",E120:E126)</f>
        <v>0</v>
      </c>
      <c r="F127" s="35" t="s">
        <v>414</v>
      </c>
      <c r="G127" s="36">
        <f>SUM(G120:G126)</f>
        <v>0</v>
      </c>
      <c r="H127" s="37">
        <f>SUM(H120:H126)</f>
        <v>0</v>
      </c>
    </row>
    <row r="128" spans="1:9" ht="15.75" customHeight="1" x14ac:dyDescent="0.2">
      <c r="F128" s="4" t="s">
        <v>47</v>
      </c>
      <c r="G128" s="65">
        <f>IFERROR(G127/E127, 0)</f>
        <v>0</v>
      </c>
    </row>
    <row r="129" spans="1:17" ht="15.75" customHeight="1" x14ac:dyDescent="0.2">
      <c r="F129" s="4" t="s">
        <v>57</v>
      </c>
      <c r="G129" s="38">
        <f>IFERROR(G127/B118, 0)</f>
        <v>0</v>
      </c>
    </row>
    <row r="131" spans="1:17" ht="15.75" customHeight="1" x14ac:dyDescent="0.2">
      <c r="A131" s="77" t="s">
        <v>422</v>
      </c>
      <c r="B131" s="68"/>
      <c r="C131" s="68"/>
      <c r="D131" s="68"/>
      <c r="E131" s="68"/>
      <c r="F131" s="68"/>
      <c r="G131" s="68"/>
      <c r="H131" s="69"/>
      <c r="J131" s="56"/>
      <c r="K131" s="56"/>
      <c r="L131" s="56"/>
      <c r="M131" s="56"/>
      <c r="N131" s="56"/>
      <c r="O131" s="56"/>
      <c r="P131" s="56"/>
      <c r="Q131" s="56"/>
    </row>
    <row r="132" spans="1:17" ht="15.75" customHeight="1" x14ac:dyDescent="0.2">
      <c r="A132" s="45" t="s">
        <v>400</v>
      </c>
      <c r="B132" s="76"/>
      <c r="C132" s="68"/>
      <c r="D132" s="69"/>
      <c r="E132" s="77" t="s">
        <v>401</v>
      </c>
      <c r="F132" s="69"/>
      <c r="G132" s="78">
        <v>0</v>
      </c>
      <c r="H132" s="69"/>
      <c r="J132" s="56"/>
      <c r="K132" s="56"/>
      <c r="L132" s="56"/>
      <c r="M132" s="56"/>
      <c r="N132" s="56"/>
      <c r="O132" s="56"/>
      <c r="P132" s="56"/>
      <c r="Q132" s="56"/>
    </row>
    <row r="133" spans="1:17" ht="15.75" customHeight="1" x14ac:dyDescent="0.2">
      <c r="A133" s="5" t="s">
        <v>27</v>
      </c>
      <c r="B133" s="79"/>
      <c r="C133" s="80"/>
      <c r="D133" s="81"/>
      <c r="E133" s="77" t="s">
        <v>402</v>
      </c>
      <c r="F133" s="69"/>
      <c r="G133" s="75">
        <f>E143</f>
        <v>0</v>
      </c>
      <c r="H133" s="69"/>
      <c r="J133" s="56"/>
      <c r="K133" s="56"/>
      <c r="L133" s="56"/>
      <c r="M133" s="56"/>
      <c r="N133" s="56"/>
      <c r="O133" s="56"/>
      <c r="P133" s="56"/>
      <c r="Q133" s="56"/>
    </row>
    <row r="134" spans="1:17" ht="15.75" customHeight="1" x14ac:dyDescent="0.2">
      <c r="A134" s="5" t="s">
        <v>403</v>
      </c>
      <c r="B134" s="76" t="s">
        <v>404</v>
      </c>
      <c r="C134" s="68"/>
      <c r="D134" s="69"/>
      <c r="E134" s="77" t="s">
        <v>35</v>
      </c>
      <c r="F134" s="69"/>
      <c r="G134" s="77">
        <f>IFERROR(G133/B134, 0)</f>
        <v>0</v>
      </c>
      <c r="H134" s="69"/>
      <c r="J134" s="56"/>
      <c r="K134" s="56"/>
      <c r="L134" s="56"/>
      <c r="M134" s="56"/>
      <c r="N134" s="56"/>
      <c r="O134" s="56"/>
      <c r="P134" s="56"/>
      <c r="Q134" s="56"/>
    </row>
    <row r="135" spans="1:17" ht="15.75" customHeight="1" x14ac:dyDescent="0.2">
      <c r="A135" s="17" t="s">
        <v>405</v>
      </c>
      <c r="B135" s="17" t="s">
        <v>406</v>
      </c>
      <c r="C135" s="17" t="s">
        <v>41</v>
      </c>
      <c r="D135" s="17" t="s">
        <v>407</v>
      </c>
      <c r="E135" s="17" t="s">
        <v>408</v>
      </c>
      <c r="F135" s="17" t="s">
        <v>47</v>
      </c>
      <c r="G135" s="17" t="s">
        <v>409</v>
      </c>
      <c r="H135" s="17" t="s">
        <v>410</v>
      </c>
      <c r="I135" s="17" t="s">
        <v>411</v>
      </c>
      <c r="J135" s="56"/>
      <c r="K135" s="56"/>
      <c r="L135" s="56"/>
      <c r="M135" s="56"/>
      <c r="N135" s="56"/>
      <c r="O135" s="56"/>
      <c r="P135" s="56"/>
      <c r="Q135" s="56"/>
    </row>
    <row r="136" spans="1:17" ht="15.75" customHeight="1" x14ac:dyDescent="0.2">
      <c r="A136" s="22"/>
      <c r="B136" s="24">
        <f t="shared" ref="B136:B142" si="32">E136/(100%-C136)</f>
        <v>0</v>
      </c>
      <c r="C136" s="26">
        <f>IF(I136="Un",0,IFERROR(VLOOKUP(A136,'Mermas por producto'!$A$2:$B$313,2,0),0))</f>
        <v>0</v>
      </c>
      <c r="D136" s="28">
        <f t="shared" ref="D136:D142" si="33">B136*C136</f>
        <v>0</v>
      </c>
      <c r="E136" s="29"/>
      <c r="F136" s="63" t="str">
        <f>IFERROR(VLOOKUP(A136,'Insumos '!A:G,7,0),"")</f>
        <v/>
      </c>
      <c r="G136" s="30">
        <f t="shared" ref="G136:G142" si="34">IFERROR(B136*F136, 0)</f>
        <v>0</v>
      </c>
      <c r="H136" s="31">
        <f t="shared" ref="H136:H142" si="35">IFERROR(G136/$G$143, 0)</f>
        <v>0</v>
      </c>
      <c r="I136" s="64" t="str">
        <f>IFERROR(TRIM(VLOOKUP(A136,'Insumos '!$A$2:$E$313,5,0)&amp;""),"")</f>
        <v/>
      </c>
      <c r="J136" s="56"/>
      <c r="K136" s="56"/>
      <c r="L136" s="56"/>
      <c r="M136" s="56"/>
      <c r="N136" s="56"/>
      <c r="O136" s="56"/>
      <c r="P136" s="56"/>
      <c r="Q136" s="56"/>
    </row>
    <row r="137" spans="1:17" ht="15.75" customHeight="1" x14ac:dyDescent="0.2">
      <c r="A137" s="22"/>
      <c r="B137" s="24">
        <f t="shared" si="32"/>
        <v>0</v>
      </c>
      <c r="C137" s="26">
        <f>IF(I137="Un",0,IFERROR(VLOOKUP(A137,'Mermas por producto'!$A$2:$B$313,2,0),0))</f>
        <v>0</v>
      </c>
      <c r="D137" s="28">
        <f t="shared" si="33"/>
        <v>0</v>
      </c>
      <c r="E137" s="29"/>
      <c r="F137" s="63" t="str">
        <f>IFERROR(VLOOKUP(A137,'Insumos '!A:G,7,0),"")</f>
        <v/>
      </c>
      <c r="G137" s="30">
        <f t="shared" si="34"/>
        <v>0</v>
      </c>
      <c r="H137" s="31">
        <f t="shared" si="35"/>
        <v>0</v>
      </c>
      <c r="I137" s="64" t="str">
        <f>IFERROR(TRIM(VLOOKUP(A137,'Insumos '!$A$2:$E$313,5,0)&amp;""),"")</f>
        <v/>
      </c>
      <c r="J137" s="56"/>
      <c r="K137" s="56"/>
      <c r="L137" s="56"/>
      <c r="M137" s="56"/>
      <c r="N137" s="56"/>
      <c r="O137" s="56"/>
      <c r="P137" s="56"/>
      <c r="Q137" s="56"/>
    </row>
    <row r="138" spans="1:17" ht="15.75" customHeight="1" x14ac:dyDescent="0.2">
      <c r="A138" s="22"/>
      <c r="B138" s="24">
        <f t="shared" si="32"/>
        <v>0</v>
      </c>
      <c r="C138" s="26">
        <f>IF(I138="Un",0,IFERROR(VLOOKUP(A138,'Mermas por producto'!$A$2:$B$313,2,0),0))</f>
        <v>0</v>
      </c>
      <c r="D138" s="28">
        <f t="shared" si="33"/>
        <v>0</v>
      </c>
      <c r="E138" s="29"/>
      <c r="F138" s="63" t="str">
        <f>IFERROR(VLOOKUP(A138,'Insumos '!A:G,7,0),"")</f>
        <v/>
      </c>
      <c r="G138" s="30">
        <f t="shared" si="34"/>
        <v>0</v>
      </c>
      <c r="H138" s="31">
        <f t="shared" si="35"/>
        <v>0</v>
      </c>
      <c r="I138" s="64" t="str">
        <f>IFERROR(TRIM(VLOOKUP(A138,'Insumos '!$A$2:$E$313,5,0)&amp;""),"")</f>
        <v/>
      </c>
      <c r="J138" s="56"/>
      <c r="K138" s="56"/>
      <c r="L138" s="56"/>
      <c r="M138" s="56"/>
      <c r="N138" s="56"/>
      <c r="O138" s="56"/>
      <c r="P138" s="56"/>
      <c r="Q138" s="56"/>
    </row>
    <row r="139" spans="1:17" ht="15.75" customHeight="1" x14ac:dyDescent="0.2">
      <c r="A139" s="22"/>
      <c r="B139" s="24">
        <f t="shared" si="32"/>
        <v>0</v>
      </c>
      <c r="C139" s="26">
        <f>IF(I139="Un",0,IFERROR(VLOOKUP(A139,'Mermas por producto'!$A$2:$B$313,2,0),0))</f>
        <v>0</v>
      </c>
      <c r="D139" s="28">
        <f t="shared" si="33"/>
        <v>0</v>
      </c>
      <c r="E139" s="29"/>
      <c r="F139" s="63" t="str">
        <f>IFERROR(VLOOKUP(A139,'Insumos '!A:G,7,0),"")</f>
        <v/>
      </c>
      <c r="G139" s="30">
        <f t="shared" si="34"/>
        <v>0</v>
      </c>
      <c r="H139" s="31">
        <f t="shared" si="35"/>
        <v>0</v>
      </c>
      <c r="I139" s="64" t="str">
        <f>IFERROR(TRIM(VLOOKUP(A139,'Insumos '!$A$2:$E$313,5,0)&amp;""),"")</f>
        <v/>
      </c>
      <c r="J139" s="56"/>
      <c r="K139" s="56"/>
      <c r="L139" s="56"/>
      <c r="M139" s="56"/>
      <c r="N139" s="56"/>
      <c r="O139" s="56"/>
      <c r="P139" s="56"/>
      <c r="Q139" s="56"/>
    </row>
    <row r="140" spans="1:17" ht="15.75" customHeight="1" x14ac:dyDescent="0.2">
      <c r="A140" s="22"/>
      <c r="B140" s="24">
        <f t="shared" si="32"/>
        <v>0</v>
      </c>
      <c r="C140" s="26">
        <f>IF(I140="Un",0,IFERROR(VLOOKUP(A140,'Mermas por producto'!$A$2:$B$313,2,0),0))</f>
        <v>0</v>
      </c>
      <c r="D140" s="28">
        <f t="shared" si="33"/>
        <v>0</v>
      </c>
      <c r="E140" s="29"/>
      <c r="F140" s="63" t="str">
        <f>IFERROR(VLOOKUP(A140,'Insumos '!A:G,7,0),"")</f>
        <v/>
      </c>
      <c r="G140" s="30">
        <f t="shared" si="34"/>
        <v>0</v>
      </c>
      <c r="H140" s="31">
        <f t="shared" si="35"/>
        <v>0</v>
      </c>
      <c r="I140" s="64" t="str">
        <f>IFERROR(TRIM(VLOOKUP(A140,'Insumos '!$A$2:$E$313,5,0)&amp;""),"")</f>
        <v/>
      </c>
      <c r="J140" s="56"/>
      <c r="K140" s="56"/>
      <c r="L140" s="56"/>
      <c r="M140" s="56"/>
      <c r="N140" s="56"/>
      <c r="O140" s="56"/>
      <c r="P140" s="56"/>
      <c r="Q140" s="56"/>
    </row>
    <row r="141" spans="1:17" ht="15.75" customHeight="1" x14ac:dyDescent="0.2">
      <c r="A141" s="22"/>
      <c r="B141" s="24">
        <f t="shared" si="32"/>
        <v>0</v>
      </c>
      <c r="C141" s="26">
        <f>IF(I141="Un",0,IFERROR(VLOOKUP(A141,'Mermas por producto'!$A$2:$B$313,2,0),0))</f>
        <v>0</v>
      </c>
      <c r="D141" s="28">
        <f t="shared" si="33"/>
        <v>0</v>
      </c>
      <c r="E141" s="29"/>
      <c r="F141" s="63" t="str">
        <f>IFERROR(VLOOKUP(A141,'Insumos '!$A$2:$G$313,7,0),"")</f>
        <v/>
      </c>
      <c r="G141" s="30">
        <f t="shared" si="34"/>
        <v>0</v>
      </c>
      <c r="H141" s="31">
        <f t="shared" si="35"/>
        <v>0</v>
      </c>
      <c r="I141" s="64" t="str">
        <f>IFERROR(TRIM(VLOOKUP(A141,'Insumos '!$A$2:$E$313,5,0)&amp;""),"")</f>
        <v/>
      </c>
      <c r="J141" s="56"/>
      <c r="K141" s="56"/>
      <c r="L141" s="56"/>
      <c r="M141" s="56"/>
      <c r="N141" s="56"/>
      <c r="O141" s="56"/>
      <c r="P141" s="56"/>
      <c r="Q141" s="56"/>
    </row>
    <row r="142" spans="1:17" ht="15.75" customHeight="1" x14ac:dyDescent="0.2">
      <c r="A142" s="22"/>
      <c r="B142" s="24">
        <f t="shared" si="32"/>
        <v>0</v>
      </c>
      <c r="C142" s="26">
        <f>IF(I142="Un",0,IFERROR(VLOOKUP(A142,'Mermas por producto'!$A$2:$B$313,2,0),0))</f>
        <v>0</v>
      </c>
      <c r="D142" s="28">
        <f t="shared" si="33"/>
        <v>0</v>
      </c>
      <c r="E142" s="29"/>
      <c r="F142" s="63" t="str">
        <f>IFERROR(VLOOKUP(A142,'Insumos '!A:G,7,0),"")</f>
        <v/>
      </c>
      <c r="G142" s="30">
        <f t="shared" si="34"/>
        <v>0</v>
      </c>
      <c r="H142" s="31">
        <f t="shared" si="35"/>
        <v>0</v>
      </c>
      <c r="I142" s="64" t="str">
        <f>IFERROR(TRIM(VLOOKUP(A142,'Insumos '!$A$2:$E$313,5,0)&amp;""),"")</f>
        <v/>
      </c>
    </row>
    <row r="143" spans="1:17" ht="15.75" customHeight="1" x14ac:dyDescent="0.2">
      <c r="A143" s="32" t="s">
        <v>412</v>
      </c>
      <c r="B143" s="33">
        <f>SUMIF(I136:I142,"&lt;&gt;Un",B136:B142)</f>
        <v>0</v>
      </c>
      <c r="C143" s="32" t="s">
        <v>413</v>
      </c>
      <c r="D143" s="34">
        <f>SUMIF(I136:I142,"&lt;&gt;Un",D136:D142)</f>
        <v>0</v>
      </c>
      <c r="E143" s="33">
        <f>SUMIF(I136:I142,"&lt;&gt;Un",E136:E142)</f>
        <v>0</v>
      </c>
      <c r="F143" s="35" t="s">
        <v>414</v>
      </c>
      <c r="G143" s="36">
        <f>SUM(G136:G142)</f>
        <v>0</v>
      </c>
      <c r="H143" s="37">
        <f>SUM(H136:H142)</f>
        <v>0</v>
      </c>
    </row>
    <row r="144" spans="1:17" ht="15.75" customHeight="1" x14ac:dyDescent="0.2">
      <c r="F144" s="4" t="s">
        <v>47</v>
      </c>
      <c r="G144" s="65">
        <f>IFERROR(G143/E143, 0)</f>
        <v>0</v>
      </c>
    </row>
    <row r="145" spans="1:9" ht="15.75" customHeight="1" x14ac:dyDescent="0.2">
      <c r="F145" s="4" t="s">
        <v>57</v>
      </c>
      <c r="G145" s="38">
        <f>IFERROR(G143/B134, 0)</f>
        <v>0</v>
      </c>
    </row>
    <row r="147" spans="1:9" ht="15.75" customHeight="1" x14ac:dyDescent="0.2">
      <c r="A147" s="77" t="s">
        <v>423</v>
      </c>
      <c r="B147" s="68"/>
      <c r="C147" s="68"/>
      <c r="D147" s="68"/>
      <c r="E147" s="68"/>
      <c r="F147" s="68"/>
      <c r="G147" s="68"/>
      <c r="H147" s="69"/>
    </row>
    <row r="148" spans="1:9" ht="15.75" customHeight="1" x14ac:dyDescent="0.2">
      <c r="A148" s="45" t="s">
        <v>400</v>
      </c>
      <c r="B148" s="76"/>
      <c r="C148" s="68"/>
      <c r="D148" s="69"/>
      <c r="E148" s="77" t="s">
        <v>401</v>
      </c>
      <c r="F148" s="69"/>
      <c r="G148" s="78">
        <v>0</v>
      </c>
      <c r="H148" s="69"/>
    </row>
    <row r="149" spans="1:9" ht="15.75" customHeight="1" x14ac:dyDescent="0.2">
      <c r="A149" s="5" t="s">
        <v>27</v>
      </c>
      <c r="B149" s="79"/>
      <c r="C149" s="80"/>
      <c r="D149" s="81"/>
      <c r="E149" s="77" t="s">
        <v>402</v>
      </c>
      <c r="F149" s="69"/>
      <c r="G149" s="75">
        <f>E159</f>
        <v>0</v>
      </c>
      <c r="H149" s="69"/>
    </row>
    <row r="150" spans="1:9" ht="15.75" customHeight="1" x14ac:dyDescent="0.2">
      <c r="A150" s="5" t="s">
        <v>403</v>
      </c>
      <c r="B150" s="76" t="s">
        <v>404</v>
      </c>
      <c r="C150" s="68"/>
      <c r="D150" s="69"/>
      <c r="E150" s="77" t="s">
        <v>35</v>
      </c>
      <c r="F150" s="69"/>
      <c r="G150" s="77">
        <f>IFERROR(G149/B150, 0)</f>
        <v>0</v>
      </c>
      <c r="H150" s="69"/>
    </row>
    <row r="151" spans="1:9" ht="15.75" customHeight="1" x14ac:dyDescent="0.2">
      <c r="A151" s="17" t="s">
        <v>405</v>
      </c>
      <c r="B151" s="17" t="s">
        <v>406</v>
      </c>
      <c r="C151" s="17" t="s">
        <v>41</v>
      </c>
      <c r="D151" s="17" t="s">
        <v>407</v>
      </c>
      <c r="E151" s="17" t="s">
        <v>408</v>
      </c>
      <c r="F151" s="17" t="s">
        <v>47</v>
      </c>
      <c r="G151" s="17" t="s">
        <v>409</v>
      </c>
      <c r="H151" s="17" t="s">
        <v>410</v>
      </c>
      <c r="I151" s="17" t="s">
        <v>411</v>
      </c>
    </row>
    <row r="152" spans="1:9" ht="15.75" customHeight="1" x14ac:dyDescent="0.2">
      <c r="A152" s="22"/>
      <c r="B152" s="24">
        <f t="shared" ref="B152:B158" si="36">E152/(100%-C152)</f>
        <v>0</v>
      </c>
      <c r="C152" s="26">
        <f>IF(I152="Un",0,IFERROR(VLOOKUP(A152,'Mermas por producto'!$A$2:$B$313,2,0),0))</f>
        <v>0</v>
      </c>
      <c r="D152" s="28">
        <f t="shared" ref="D152:D158" si="37">B152*C152</f>
        <v>0</v>
      </c>
      <c r="E152" s="29"/>
      <c r="F152" s="63" t="str">
        <f>IFERROR(VLOOKUP(A152,'Insumos '!A:G,7,0),"")</f>
        <v/>
      </c>
      <c r="G152" s="30">
        <f t="shared" ref="G152:G158" si="38">IFERROR(B152*F152, 0)</f>
        <v>0</v>
      </c>
      <c r="H152" s="31">
        <f t="shared" ref="H152:H158" si="39">IFERROR(G152/$G$159, 0)</f>
        <v>0</v>
      </c>
      <c r="I152" s="64" t="str">
        <f>IFERROR(TRIM(VLOOKUP(A152,'Insumos '!$A$2:$E$313,5,0)&amp;""),"")</f>
        <v/>
      </c>
    </row>
    <row r="153" spans="1:9" ht="15.75" customHeight="1" x14ac:dyDescent="0.2">
      <c r="A153" s="22"/>
      <c r="B153" s="24">
        <f t="shared" si="36"/>
        <v>0</v>
      </c>
      <c r="C153" s="26">
        <f>IF(I153="Un",0,IFERROR(VLOOKUP(A153,'Mermas por producto'!$A$2:$B$313,2,0),0))</f>
        <v>0</v>
      </c>
      <c r="D153" s="28">
        <f t="shared" si="37"/>
        <v>0</v>
      </c>
      <c r="E153" s="29"/>
      <c r="F153" s="63" t="str">
        <f>IFERROR(VLOOKUP(A153,'Insumos '!A:G,7,0),"")</f>
        <v/>
      </c>
      <c r="G153" s="30">
        <f t="shared" si="38"/>
        <v>0</v>
      </c>
      <c r="H153" s="31">
        <f t="shared" si="39"/>
        <v>0</v>
      </c>
      <c r="I153" s="64" t="str">
        <f>IFERROR(TRIM(VLOOKUP(A153,'Insumos '!$A$2:$E$313,5,0)&amp;""),"")</f>
        <v/>
      </c>
    </row>
    <row r="154" spans="1:9" ht="15.75" customHeight="1" x14ac:dyDescent="0.2">
      <c r="A154" s="22"/>
      <c r="B154" s="24">
        <f t="shared" si="36"/>
        <v>0</v>
      </c>
      <c r="C154" s="26">
        <f>IF(I154="Un",0,IFERROR(VLOOKUP(A154,'Mermas por producto'!$A$2:$B$313,2,0),0))</f>
        <v>0</v>
      </c>
      <c r="D154" s="28">
        <f t="shared" si="37"/>
        <v>0</v>
      </c>
      <c r="E154" s="29"/>
      <c r="F154" s="63" t="str">
        <f>IFERROR(VLOOKUP(A154,'Insumos '!A:G,7,0),"")</f>
        <v/>
      </c>
      <c r="G154" s="30">
        <f t="shared" si="38"/>
        <v>0</v>
      </c>
      <c r="H154" s="31">
        <f t="shared" si="39"/>
        <v>0</v>
      </c>
      <c r="I154" s="64" t="str">
        <f>IFERROR(TRIM(VLOOKUP(A154,'Insumos '!$A$2:$E$313,5,0)&amp;""),"")</f>
        <v/>
      </c>
    </row>
    <row r="155" spans="1:9" ht="15.75" customHeight="1" x14ac:dyDescent="0.2">
      <c r="A155" s="22"/>
      <c r="B155" s="24">
        <f t="shared" si="36"/>
        <v>0</v>
      </c>
      <c r="C155" s="26">
        <f>IF(I155="Un",0,IFERROR(VLOOKUP(A155,'Mermas por producto'!$A$2:$B$313,2,0),0))</f>
        <v>0</v>
      </c>
      <c r="D155" s="28">
        <f t="shared" si="37"/>
        <v>0</v>
      </c>
      <c r="E155" s="29"/>
      <c r="F155" s="63" t="str">
        <f>IFERROR(VLOOKUP(A155,'Insumos '!$A$2:$G$313,7,0),"")</f>
        <v/>
      </c>
      <c r="G155" s="30">
        <f t="shared" si="38"/>
        <v>0</v>
      </c>
      <c r="H155" s="31">
        <f t="shared" si="39"/>
        <v>0</v>
      </c>
      <c r="I155" s="64" t="str">
        <f>IFERROR(TRIM(VLOOKUP(A155,'Insumos '!$A$2:$E$313,5,0)&amp;""),"")</f>
        <v/>
      </c>
    </row>
    <row r="156" spans="1:9" ht="15.75" customHeight="1" x14ac:dyDescent="0.2">
      <c r="A156" s="22"/>
      <c r="B156" s="24">
        <f t="shared" si="36"/>
        <v>0</v>
      </c>
      <c r="C156" s="26">
        <f>IF(I156="Un",0,IFERROR(VLOOKUP(A156,'Mermas por producto'!$A$2:$B$313,2,0),0))</f>
        <v>0</v>
      </c>
      <c r="D156" s="28">
        <f t="shared" si="37"/>
        <v>0</v>
      </c>
      <c r="E156" s="29"/>
      <c r="F156" s="63" t="str">
        <f>IFERROR(VLOOKUP(A156,'Insumos '!A:G,7,0),"")</f>
        <v/>
      </c>
      <c r="G156" s="30">
        <f t="shared" si="38"/>
        <v>0</v>
      </c>
      <c r="H156" s="31">
        <f t="shared" si="39"/>
        <v>0</v>
      </c>
      <c r="I156" s="64" t="str">
        <f>IFERROR(TRIM(VLOOKUP(A156,'Insumos '!$A$2:$E$313,5,0)&amp;""),"")</f>
        <v/>
      </c>
    </row>
    <row r="157" spans="1:9" ht="15.75" customHeight="1" x14ac:dyDescent="0.2">
      <c r="A157" s="22"/>
      <c r="B157" s="24">
        <f t="shared" si="36"/>
        <v>0</v>
      </c>
      <c r="C157" s="26">
        <f>IF(I157="Un",0,IFERROR(VLOOKUP(A157,'Mermas por producto'!$A$2:$B$313,2,0),0))</f>
        <v>0</v>
      </c>
      <c r="D157" s="28">
        <f t="shared" si="37"/>
        <v>0</v>
      </c>
      <c r="E157" s="29"/>
      <c r="F157" s="63" t="str">
        <f>IFERROR(VLOOKUP(A157,'Insumos '!$A$2:$G$313,7,0),"")</f>
        <v/>
      </c>
      <c r="G157" s="30">
        <f t="shared" si="38"/>
        <v>0</v>
      </c>
      <c r="H157" s="31">
        <f t="shared" si="39"/>
        <v>0</v>
      </c>
      <c r="I157" s="64" t="str">
        <f>IFERROR(TRIM(VLOOKUP(A157,'Insumos '!$A$2:$E$313,5,0)&amp;""),"")</f>
        <v/>
      </c>
    </row>
    <row r="158" spans="1:9" ht="15.75" customHeight="1" x14ac:dyDescent="0.2">
      <c r="A158" s="22"/>
      <c r="B158" s="24">
        <f t="shared" si="36"/>
        <v>0</v>
      </c>
      <c r="C158" s="26">
        <f>IF(I158="Un",0,IFERROR(VLOOKUP(A158,'Mermas por producto'!$A$2:$B$313,2,0),0))</f>
        <v>0</v>
      </c>
      <c r="D158" s="28">
        <f t="shared" si="37"/>
        <v>0</v>
      </c>
      <c r="E158" s="29"/>
      <c r="F158" s="63" t="str">
        <f>IFERROR(VLOOKUP(A158,'Insumos '!A:G,7,0),"")</f>
        <v/>
      </c>
      <c r="G158" s="30">
        <f t="shared" si="38"/>
        <v>0</v>
      </c>
      <c r="H158" s="31">
        <f t="shared" si="39"/>
        <v>0</v>
      </c>
      <c r="I158" s="64" t="str">
        <f>IFERROR(TRIM(VLOOKUP(A158,'Insumos '!$A$2:$E$313,5,0)&amp;""),"")</f>
        <v/>
      </c>
    </row>
    <row r="159" spans="1:9" ht="15.75" customHeight="1" x14ac:dyDescent="0.2">
      <c r="A159" s="32" t="s">
        <v>412</v>
      </c>
      <c r="B159" s="33">
        <f>SUMIF(I152:I158,"&lt;&gt;Un",B152:B158)</f>
        <v>0</v>
      </c>
      <c r="C159" s="32" t="s">
        <v>413</v>
      </c>
      <c r="D159" s="34">
        <f>SUMIF(I152:I158,"&lt;&gt;Un",D152:D158)</f>
        <v>0</v>
      </c>
      <c r="E159" s="33">
        <f>SUMIF(I152:I158,"&lt;&gt;Un",E152:E158)</f>
        <v>0</v>
      </c>
      <c r="F159" s="35" t="s">
        <v>414</v>
      </c>
      <c r="G159" s="36">
        <f>SUM(G152:G158)</f>
        <v>0</v>
      </c>
      <c r="H159" s="37">
        <f>SUM(H152:H158)</f>
        <v>0</v>
      </c>
    </row>
    <row r="160" spans="1:9" ht="15.75" customHeight="1" x14ac:dyDescent="0.2">
      <c r="F160" s="4" t="s">
        <v>47</v>
      </c>
      <c r="G160" s="65">
        <f>IFERROR(G159/E159, 0)</f>
        <v>0</v>
      </c>
    </row>
    <row r="161" spans="1:9" ht="15.75" customHeight="1" x14ac:dyDescent="0.2">
      <c r="F161" s="4" t="s">
        <v>57</v>
      </c>
      <c r="G161" s="38">
        <f>IFERROR(G159/B150, 0)</f>
        <v>0</v>
      </c>
    </row>
    <row r="163" spans="1:9" ht="15.75" customHeight="1" x14ac:dyDescent="0.2">
      <c r="A163" s="77" t="s">
        <v>424</v>
      </c>
      <c r="B163" s="68"/>
      <c r="C163" s="68"/>
      <c r="D163" s="68"/>
      <c r="E163" s="68"/>
      <c r="F163" s="68"/>
      <c r="G163" s="68"/>
      <c r="H163" s="69"/>
    </row>
    <row r="164" spans="1:9" ht="15.75" customHeight="1" x14ac:dyDescent="0.2">
      <c r="A164" s="45" t="s">
        <v>400</v>
      </c>
      <c r="B164" s="76"/>
      <c r="C164" s="68"/>
      <c r="D164" s="69"/>
      <c r="E164" s="77" t="s">
        <v>401</v>
      </c>
      <c r="F164" s="69"/>
      <c r="G164" s="78">
        <v>0</v>
      </c>
      <c r="H164" s="69"/>
    </row>
    <row r="165" spans="1:9" ht="15.75" customHeight="1" x14ac:dyDescent="0.2">
      <c r="A165" s="5" t="s">
        <v>27</v>
      </c>
      <c r="B165" s="79"/>
      <c r="C165" s="80"/>
      <c r="D165" s="81"/>
      <c r="E165" s="77" t="s">
        <v>402</v>
      </c>
      <c r="F165" s="69"/>
      <c r="G165" s="75">
        <f>E175</f>
        <v>0</v>
      </c>
      <c r="H165" s="69"/>
    </row>
    <row r="166" spans="1:9" ht="15.75" customHeight="1" x14ac:dyDescent="0.2">
      <c r="A166" s="5" t="s">
        <v>403</v>
      </c>
      <c r="B166" s="76" t="s">
        <v>404</v>
      </c>
      <c r="C166" s="68"/>
      <c r="D166" s="69"/>
      <c r="E166" s="77" t="s">
        <v>35</v>
      </c>
      <c r="F166" s="69"/>
      <c r="G166" s="77">
        <f>IFERROR(G165/B166, 0)</f>
        <v>0</v>
      </c>
      <c r="H166" s="69"/>
    </row>
    <row r="167" spans="1:9" ht="15.75" customHeight="1" x14ac:dyDescent="0.2">
      <c r="A167" s="17" t="s">
        <v>405</v>
      </c>
      <c r="B167" s="17" t="s">
        <v>406</v>
      </c>
      <c r="C167" s="17" t="s">
        <v>41</v>
      </c>
      <c r="D167" s="17" t="s">
        <v>407</v>
      </c>
      <c r="E167" s="17" t="s">
        <v>408</v>
      </c>
      <c r="F167" s="17" t="s">
        <v>47</v>
      </c>
      <c r="G167" s="17" t="s">
        <v>409</v>
      </c>
      <c r="H167" s="17" t="s">
        <v>410</v>
      </c>
      <c r="I167" s="17" t="s">
        <v>411</v>
      </c>
    </row>
    <row r="168" spans="1:9" ht="15.75" customHeight="1" x14ac:dyDescent="0.2">
      <c r="A168" s="22"/>
      <c r="B168" s="24">
        <f t="shared" ref="B168:B174" si="40">E168/(100%-C168)</f>
        <v>0</v>
      </c>
      <c r="C168" s="26">
        <f>IF(I168="Un",0,IFERROR(VLOOKUP(A168,'Mermas por producto'!$A$2:$B$313,2,0),0))</f>
        <v>0</v>
      </c>
      <c r="D168" s="28">
        <f t="shared" ref="D168:D174" si="41">B168*C168</f>
        <v>0</v>
      </c>
      <c r="E168" s="29"/>
      <c r="F168" s="63" t="str">
        <f>IFERROR(VLOOKUP(A168,'Insumos '!A:G,7,0),"")</f>
        <v/>
      </c>
      <c r="G168" s="30">
        <f t="shared" ref="G168:G174" si="42">IFERROR(B168*F168, 0)</f>
        <v>0</v>
      </c>
      <c r="H168" s="31">
        <f t="shared" ref="H168:H174" si="43">IFERROR(G168/$G$175, 0)</f>
        <v>0</v>
      </c>
      <c r="I168" s="64" t="str">
        <f>IFERROR(TRIM(VLOOKUP(A168,'Insumos '!$A$2:$E$313,5,0)&amp;""),"")</f>
        <v/>
      </c>
    </row>
    <row r="169" spans="1:9" ht="15.75" customHeight="1" x14ac:dyDescent="0.2">
      <c r="A169" s="22"/>
      <c r="B169" s="24">
        <f t="shared" si="40"/>
        <v>0</v>
      </c>
      <c r="C169" s="26">
        <f>IF(I169="Un",0,IFERROR(VLOOKUP(A169,'Mermas por producto'!$A$2:$B$313,2,0),0))</f>
        <v>0</v>
      </c>
      <c r="D169" s="28">
        <f t="shared" si="41"/>
        <v>0</v>
      </c>
      <c r="E169" s="29"/>
      <c r="F169" s="63" t="str">
        <f>IFERROR(VLOOKUP(A169,'Insumos '!A:G,7,0),"")</f>
        <v/>
      </c>
      <c r="G169" s="30">
        <f t="shared" si="42"/>
        <v>0</v>
      </c>
      <c r="H169" s="31">
        <f t="shared" si="43"/>
        <v>0</v>
      </c>
      <c r="I169" s="64" t="str">
        <f>IFERROR(TRIM(VLOOKUP(A169,'Insumos '!$A$2:$E$313,5,0)&amp;""),"")</f>
        <v/>
      </c>
    </row>
    <row r="170" spans="1:9" ht="15.75" customHeight="1" x14ac:dyDescent="0.2">
      <c r="A170" s="22"/>
      <c r="B170" s="24">
        <f t="shared" si="40"/>
        <v>0</v>
      </c>
      <c r="C170" s="26">
        <f>IF(I170="Un",0,IFERROR(VLOOKUP(A170,'Mermas por producto'!$A$2:$B$313,2,0),0))</f>
        <v>0</v>
      </c>
      <c r="D170" s="28">
        <f t="shared" si="41"/>
        <v>0</v>
      </c>
      <c r="E170" s="29"/>
      <c r="F170" s="63" t="str">
        <f>IFERROR(VLOOKUP(A170,'Insumos '!A:G,7,0),"")</f>
        <v/>
      </c>
      <c r="G170" s="30">
        <f t="shared" si="42"/>
        <v>0</v>
      </c>
      <c r="H170" s="31">
        <f t="shared" si="43"/>
        <v>0</v>
      </c>
      <c r="I170" s="64" t="str">
        <f>IFERROR(TRIM(VLOOKUP(A170,'Insumos '!$A$2:$E$313,5,0)&amp;""),"")</f>
        <v/>
      </c>
    </row>
    <row r="171" spans="1:9" ht="12.75" x14ac:dyDescent="0.2">
      <c r="A171" s="22"/>
      <c r="B171" s="24">
        <f t="shared" si="40"/>
        <v>0</v>
      </c>
      <c r="C171" s="26">
        <f>IF(I171="Un",0,IFERROR(VLOOKUP(A171,'Mermas por producto'!$A$2:$B$313,2,0),0))</f>
        <v>0</v>
      </c>
      <c r="D171" s="28">
        <f t="shared" si="41"/>
        <v>0</v>
      </c>
      <c r="E171" s="29"/>
      <c r="F171" s="63" t="str">
        <f>IFERROR(VLOOKUP(A171,'Insumos '!$A$2:$G$313,7,0),"")</f>
        <v/>
      </c>
      <c r="G171" s="30">
        <f t="shared" si="42"/>
        <v>0</v>
      </c>
      <c r="H171" s="31">
        <f t="shared" si="43"/>
        <v>0</v>
      </c>
      <c r="I171" s="64" t="str">
        <f>IFERROR(TRIM(VLOOKUP(A171,'Insumos '!$A$2:$E$313,5,0)&amp;""),"")</f>
        <v/>
      </c>
    </row>
    <row r="172" spans="1:9" ht="12.75" x14ac:dyDescent="0.2">
      <c r="A172" s="22"/>
      <c r="B172" s="24">
        <f t="shared" si="40"/>
        <v>0</v>
      </c>
      <c r="C172" s="26">
        <f>IF(I172="Un",0,IFERROR(VLOOKUP(A172,'Mermas por producto'!$A$2:$B$313,2,0),0))</f>
        <v>0</v>
      </c>
      <c r="D172" s="28">
        <f t="shared" si="41"/>
        <v>0</v>
      </c>
      <c r="E172" s="29"/>
      <c r="F172" s="63" t="str">
        <f>IFERROR(VLOOKUP(A172,'Insumos '!A:G,7,0),"")</f>
        <v/>
      </c>
      <c r="G172" s="30">
        <f t="shared" si="42"/>
        <v>0</v>
      </c>
      <c r="H172" s="31">
        <f t="shared" si="43"/>
        <v>0</v>
      </c>
      <c r="I172" s="64" t="str">
        <f>IFERROR(TRIM(VLOOKUP(A172,'Insumos '!$A$2:$E$313,5,0)&amp;""),"")</f>
        <v/>
      </c>
    </row>
    <row r="173" spans="1:9" ht="12.75" x14ac:dyDescent="0.2">
      <c r="A173" s="22"/>
      <c r="B173" s="24">
        <f t="shared" si="40"/>
        <v>0</v>
      </c>
      <c r="C173" s="26">
        <f>IF(I173="Un",0,IFERROR(VLOOKUP(A173,'Mermas por producto'!$A$2:$B$313,2,0),0))</f>
        <v>0</v>
      </c>
      <c r="D173" s="28">
        <f t="shared" si="41"/>
        <v>0</v>
      </c>
      <c r="E173" s="29"/>
      <c r="F173" s="63" t="str">
        <f>IFERROR(VLOOKUP(A173,'Insumos '!$A$2:$G$313,7,0),"")</f>
        <v/>
      </c>
      <c r="G173" s="30">
        <f t="shared" si="42"/>
        <v>0</v>
      </c>
      <c r="H173" s="31">
        <f t="shared" si="43"/>
        <v>0</v>
      </c>
      <c r="I173" s="64" t="str">
        <f>IFERROR(TRIM(VLOOKUP(A173,'Insumos '!$A$2:$E$313,5,0)&amp;""),"")</f>
        <v/>
      </c>
    </row>
    <row r="174" spans="1:9" ht="12.75" x14ac:dyDescent="0.2">
      <c r="A174" s="22"/>
      <c r="B174" s="24">
        <f t="shared" si="40"/>
        <v>0</v>
      </c>
      <c r="C174" s="26">
        <f>IF(I174="Un",0,IFERROR(VLOOKUP(A174,'Mermas por producto'!$A$2:$B$313,2,0),0))</f>
        <v>0</v>
      </c>
      <c r="D174" s="28">
        <f t="shared" si="41"/>
        <v>0</v>
      </c>
      <c r="E174" s="29"/>
      <c r="F174" s="63" t="str">
        <f>IFERROR(VLOOKUP(A174,'Insumos '!A:G,7,0),"")</f>
        <v/>
      </c>
      <c r="G174" s="30">
        <f t="shared" si="42"/>
        <v>0</v>
      </c>
      <c r="H174" s="31">
        <f t="shared" si="43"/>
        <v>0</v>
      </c>
      <c r="I174" s="64" t="str">
        <f>IFERROR(TRIM(VLOOKUP(A174,'Insumos '!$A$2:$E$313,5,0)&amp;""),"")</f>
        <v/>
      </c>
    </row>
    <row r="175" spans="1:9" ht="25.5" x14ac:dyDescent="0.2">
      <c r="A175" s="32" t="s">
        <v>412</v>
      </c>
      <c r="B175" s="33">
        <f>SUMIF(I168:I174,"&lt;&gt;Un",B168:B174)</f>
        <v>0</v>
      </c>
      <c r="C175" s="32" t="s">
        <v>413</v>
      </c>
      <c r="D175" s="34">
        <f>SUMIF(I168:I174,"&lt;&gt;Un",D168:D174)</f>
        <v>0</v>
      </c>
      <c r="E175" s="33">
        <f>SUMIF(I168:I174,"&lt;&gt;Un",E168:E174)</f>
        <v>0</v>
      </c>
      <c r="F175" s="35" t="s">
        <v>414</v>
      </c>
      <c r="G175" s="36">
        <f>SUM(G168:G174)</f>
        <v>0</v>
      </c>
      <c r="H175" s="37">
        <f>SUM(H168:H174)</f>
        <v>0</v>
      </c>
    </row>
    <row r="176" spans="1:9" ht="12.75" x14ac:dyDescent="0.2">
      <c r="F176" s="4" t="s">
        <v>47</v>
      </c>
      <c r="G176" s="65">
        <f>IFERROR(G175/E175, 0)</f>
        <v>0</v>
      </c>
    </row>
    <row r="177" spans="1:9" ht="12.75" x14ac:dyDescent="0.2">
      <c r="F177" s="4" t="s">
        <v>57</v>
      </c>
      <c r="G177" s="38">
        <f>IFERROR(G175/B166, 0)</f>
        <v>0</v>
      </c>
    </row>
    <row r="179" spans="1:9" ht="12.75" x14ac:dyDescent="0.2">
      <c r="A179" s="77" t="s">
        <v>425</v>
      </c>
      <c r="B179" s="68"/>
      <c r="C179" s="68"/>
      <c r="D179" s="68"/>
      <c r="E179" s="68"/>
      <c r="F179" s="68"/>
      <c r="G179" s="68"/>
      <c r="H179" s="69"/>
    </row>
    <row r="180" spans="1:9" ht="12.75" x14ac:dyDescent="0.2">
      <c r="A180" s="45" t="s">
        <v>400</v>
      </c>
      <c r="B180" s="76"/>
      <c r="C180" s="68"/>
      <c r="D180" s="69"/>
      <c r="E180" s="77" t="s">
        <v>401</v>
      </c>
      <c r="F180" s="69"/>
      <c r="G180" s="78">
        <v>0</v>
      </c>
      <c r="H180" s="69"/>
    </row>
    <row r="181" spans="1:9" ht="12.75" x14ac:dyDescent="0.2">
      <c r="A181" s="5" t="s">
        <v>27</v>
      </c>
      <c r="B181" s="79"/>
      <c r="C181" s="80"/>
      <c r="D181" s="81"/>
      <c r="E181" s="77" t="s">
        <v>402</v>
      </c>
      <c r="F181" s="69"/>
      <c r="G181" s="75">
        <f>E191</f>
        <v>0</v>
      </c>
      <c r="H181" s="69"/>
    </row>
    <row r="182" spans="1:9" ht="12.75" x14ac:dyDescent="0.2">
      <c r="A182" s="5" t="s">
        <v>403</v>
      </c>
      <c r="B182" s="76" t="s">
        <v>404</v>
      </c>
      <c r="C182" s="68"/>
      <c r="D182" s="69"/>
      <c r="E182" s="77" t="s">
        <v>35</v>
      </c>
      <c r="F182" s="69"/>
      <c r="G182" s="77">
        <f>IFERROR(G181/B182, 0)</f>
        <v>0</v>
      </c>
      <c r="H182" s="69"/>
    </row>
    <row r="183" spans="1:9" ht="25.5" x14ac:dyDescent="0.2">
      <c r="A183" s="17" t="s">
        <v>405</v>
      </c>
      <c r="B183" s="17" t="s">
        <v>406</v>
      </c>
      <c r="C183" s="17" t="s">
        <v>41</v>
      </c>
      <c r="D183" s="17" t="s">
        <v>407</v>
      </c>
      <c r="E183" s="17" t="s">
        <v>408</v>
      </c>
      <c r="F183" s="17" t="s">
        <v>47</v>
      </c>
      <c r="G183" s="17" t="s">
        <v>409</v>
      </c>
      <c r="H183" s="17" t="s">
        <v>410</v>
      </c>
      <c r="I183" s="17" t="s">
        <v>411</v>
      </c>
    </row>
    <row r="184" spans="1:9" ht="12.75" x14ac:dyDescent="0.2">
      <c r="A184" s="22"/>
      <c r="B184" s="24">
        <f t="shared" ref="B184:B190" si="44">E184/(100%-C184)</f>
        <v>0</v>
      </c>
      <c r="C184" s="26">
        <f>IF(I184="Un",0,IFERROR(VLOOKUP(A184,'Mermas por producto'!$A$2:$B$313,2,0),0))</f>
        <v>0</v>
      </c>
      <c r="D184" s="28">
        <f t="shared" ref="D184:D190" si="45">B184*C184</f>
        <v>0</v>
      </c>
      <c r="E184" s="29"/>
      <c r="F184" s="63" t="str">
        <f>IFERROR(VLOOKUP(A184,'Insumos '!A:G,7,0),"")</f>
        <v/>
      </c>
      <c r="G184" s="30">
        <f t="shared" ref="G184:G190" si="46">IFERROR(B184*F184, 0)</f>
        <v>0</v>
      </c>
      <c r="H184" s="31">
        <f t="shared" ref="H184:H190" si="47">IFERROR(G184/$G$191, 0)</f>
        <v>0</v>
      </c>
      <c r="I184" s="64" t="str">
        <f>IFERROR(TRIM(VLOOKUP(A184,'Insumos '!$A$2:$E$313,5,0)&amp;""),"")</f>
        <v/>
      </c>
    </row>
    <row r="185" spans="1:9" ht="12.75" x14ac:dyDescent="0.2">
      <c r="A185" s="22"/>
      <c r="B185" s="24">
        <f t="shared" si="44"/>
        <v>0</v>
      </c>
      <c r="C185" s="26">
        <f>IF(I185="Un",0,IFERROR(VLOOKUP(A185,'Mermas por producto'!$A$2:$B$313,2,0),0))</f>
        <v>0</v>
      </c>
      <c r="D185" s="28">
        <f t="shared" si="45"/>
        <v>0</v>
      </c>
      <c r="E185" s="29"/>
      <c r="F185" s="63" t="str">
        <f>IFERROR(VLOOKUP(A185,'Insumos '!A:G,7,0),"")</f>
        <v/>
      </c>
      <c r="G185" s="30">
        <f t="shared" si="46"/>
        <v>0</v>
      </c>
      <c r="H185" s="31">
        <f t="shared" si="47"/>
        <v>0</v>
      </c>
      <c r="I185" s="64" t="str">
        <f>IFERROR(TRIM(VLOOKUP(A185,'Insumos '!$A$2:$E$313,5,0)&amp;""),"")</f>
        <v/>
      </c>
    </row>
    <row r="186" spans="1:9" ht="12.75" x14ac:dyDescent="0.2">
      <c r="A186" s="22"/>
      <c r="B186" s="24">
        <f t="shared" si="44"/>
        <v>0</v>
      </c>
      <c r="C186" s="26">
        <f>IF(I186="Un",0,IFERROR(VLOOKUP(A186,'Mermas por producto'!$A$2:$B$313,2,0),0))</f>
        <v>0</v>
      </c>
      <c r="D186" s="28">
        <f t="shared" si="45"/>
        <v>0</v>
      </c>
      <c r="E186" s="29"/>
      <c r="F186" s="63" t="str">
        <f>IFERROR(VLOOKUP(A186,'Insumos '!A:G,7,0),"")</f>
        <v/>
      </c>
      <c r="G186" s="30">
        <f t="shared" si="46"/>
        <v>0</v>
      </c>
      <c r="H186" s="31">
        <f t="shared" si="47"/>
        <v>0</v>
      </c>
      <c r="I186" s="64" t="str">
        <f>IFERROR(TRIM(VLOOKUP(A186,'Insumos '!$A$2:$E$313,5,0)&amp;""),"")</f>
        <v/>
      </c>
    </row>
    <row r="187" spans="1:9" ht="12.75" x14ac:dyDescent="0.2">
      <c r="A187" s="22"/>
      <c r="B187" s="24">
        <f t="shared" si="44"/>
        <v>0</v>
      </c>
      <c r="C187" s="26">
        <f>IF(I187="Un",0,IFERROR(VLOOKUP(A187,'Mermas por producto'!$A$2:$B$313,2,0),0))</f>
        <v>0</v>
      </c>
      <c r="D187" s="28">
        <f t="shared" si="45"/>
        <v>0</v>
      </c>
      <c r="E187" s="29"/>
      <c r="F187" s="63" t="str">
        <f>IFERROR(VLOOKUP(A187,'Insumos '!$A$2:$G$313,7,0),"")</f>
        <v/>
      </c>
      <c r="G187" s="30">
        <f t="shared" si="46"/>
        <v>0</v>
      </c>
      <c r="H187" s="31">
        <f t="shared" si="47"/>
        <v>0</v>
      </c>
      <c r="I187" s="64" t="str">
        <f>IFERROR(TRIM(VLOOKUP(A187,'Insumos '!$A$2:$E$313,5,0)&amp;""),"")</f>
        <v/>
      </c>
    </row>
    <row r="188" spans="1:9" ht="12.75" x14ac:dyDescent="0.2">
      <c r="A188" s="22"/>
      <c r="B188" s="24">
        <f t="shared" si="44"/>
        <v>0</v>
      </c>
      <c r="C188" s="26">
        <f>IF(I188="Un",0,IFERROR(VLOOKUP(A188,'Mermas por producto'!$A$2:$B$313,2,0),0))</f>
        <v>0</v>
      </c>
      <c r="D188" s="28">
        <f t="shared" si="45"/>
        <v>0</v>
      </c>
      <c r="E188" s="29"/>
      <c r="F188" s="63" t="str">
        <f>IFERROR(VLOOKUP(A188,'Insumos '!A:G,7,0),"")</f>
        <v/>
      </c>
      <c r="G188" s="30">
        <f t="shared" si="46"/>
        <v>0</v>
      </c>
      <c r="H188" s="31">
        <f t="shared" si="47"/>
        <v>0</v>
      </c>
      <c r="I188" s="64" t="str">
        <f>IFERROR(TRIM(VLOOKUP(A188,'Insumos '!$A$2:$E$313,5,0)&amp;""),"")</f>
        <v/>
      </c>
    </row>
    <row r="189" spans="1:9" ht="12.75" x14ac:dyDescent="0.2">
      <c r="A189" s="22"/>
      <c r="B189" s="24">
        <f t="shared" si="44"/>
        <v>0</v>
      </c>
      <c r="C189" s="26">
        <f>IF(I189="Un",0,IFERROR(VLOOKUP(A189,'Mermas por producto'!$A$2:$B$313,2,0),0))</f>
        <v>0</v>
      </c>
      <c r="D189" s="28">
        <f t="shared" si="45"/>
        <v>0</v>
      </c>
      <c r="E189" s="29"/>
      <c r="F189" s="63" t="str">
        <f>IFERROR(VLOOKUP(A189,'Insumos '!$A$2:$G$313,7,0),"")</f>
        <v/>
      </c>
      <c r="G189" s="30">
        <f t="shared" si="46"/>
        <v>0</v>
      </c>
      <c r="H189" s="31">
        <f t="shared" si="47"/>
        <v>0</v>
      </c>
      <c r="I189" s="64" t="str">
        <f>IFERROR(TRIM(VLOOKUP(A189,'Insumos '!$A$2:$E$313,5,0)&amp;""),"")</f>
        <v/>
      </c>
    </row>
    <row r="190" spans="1:9" ht="12.75" x14ac:dyDescent="0.2">
      <c r="A190" s="22"/>
      <c r="B190" s="24">
        <f t="shared" si="44"/>
        <v>0</v>
      </c>
      <c r="C190" s="26">
        <f>IF(I190="Un",0,IFERROR(VLOOKUP(A190,'Mermas por producto'!$A$2:$B$313,2,0),0))</f>
        <v>0</v>
      </c>
      <c r="D190" s="28">
        <f t="shared" si="45"/>
        <v>0</v>
      </c>
      <c r="E190" s="29"/>
      <c r="F190" s="63" t="str">
        <f>IFERROR(VLOOKUP(A190,'Insumos '!A:G,7,0),"")</f>
        <v/>
      </c>
      <c r="G190" s="30">
        <f t="shared" si="46"/>
        <v>0</v>
      </c>
      <c r="H190" s="31">
        <f t="shared" si="47"/>
        <v>0</v>
      </c>
      <c r="I190" s="64" t="str">
        <f>IFERROR(TRIM(VLOOKUP(A190,'Insumos '!$A$2:$E$313,5,0)&amp;""),"")</f>
        <v/>
      </c>
    </row>
    <row r="191" spans="1:9" ht="25.5" x14ac:dyDescent="0.2">
      <c r="A191" s="32" t="s">
        <v>412</v>
      </c>
      <c r="B191" s="33">
        <f>SUMIF(I184:I190,"&lt;&gt;Un",B184:B190)</f>
        <v>0</v>
      </c>
      <c r="C191" s="32" t="s">
        <v>413</v>
      </c>
      <c r="D191" s="34">
        <f>SUMIF(I184:I190,"&lt;&gt;Un",D184:D190)</f>
        <v>0</v>
      </c>
      <c r="E191" s="33">
        <f>SUMIF(I184:I190,"&lt;&gt;Un",E184:E190)</f>
        <v>0</v>
      </c>
      <c r="F191" s="35" t="s">
        <v>414</v>
      </c>
      <c r="G191" s="36">
        <f>SUM(G184:G190)</f>
        <v>0</v>
      </c>
      <c r="H191" s="37">
        <f>SUM(H184:H190)</f>
        <v>0</v>
      </c>
    </row>
    <row r="192" spans="1:9" ht="12.75" x14ac:dyDescent="0.2">
      <c r="F192" s="4" t="s">
        <v>47</v>
      </c>
      <c r="G192" s="65">
        <f>IFERROR(G191/E191, 0)</f>
        <v>0</v>
      </c>
    </row>
    <row r="193" spans="1:9" ht="12.75" x14ac:dyDescent="0.2">
      <c r="F193" s="4" t="s">
        <v>57</v>
      </c>
      <c r="G193" s="38">
        <f>IFERROR(G191/B182, 0)</f>
        <v>0</v>
      </c>
    </row>
    <row r="195" spans="1:9" ht="12.75" x14ac:dyDescent="0.2">
      <c r="A195" s="77" t="s">
        <v>426</v>
      </c>
      <c r="B195" s="68"/>
      <c r="C195" s="68"/>
      <c r="D195" s="68"/>
      <c r="E195" s="68"/>
      <c r="F195" s="68"/>
      <c r="G195" s="68"/>
      <c r="H195" s="69"/>
    </row>
    <row r="196" spans="1:9" ht="12.75" x14ac:dyDescent="0.2">
      <c r="A196" s="45" t="s">
        <v>400</v>
      </c>
      <c r="B196" s="76"/>
      <c r="C196" s="68"/>
      <c r="D196" s="69"/>
      <c r="E196" s="77" t="s">
        <v>401</v>
      </c>
      <c r="F196" s="69"/>
      <c r="G196" s="78">
        <v>0</v>
      </c>
      <c r="H196" s="69"/>
    </row>
    <row r="197" spans="1:9" ht="12.75" x14ac:dyDescent="0.2">
      <c r="A197" s="5" t="s">
        <v>27</v>
      </c>
      <c r="B197" s="79"/>
      <c r="C197" s="80"/>
      <c r="D197" s="81"/>
      <c r="E197" s="77" t="s">
        <v>402</v>
      </c>
      <c r="F197" s="69"/>
      <c r="G197" s="75">
        <f>E207</f>
        <v>0</v>
      </c>
      <c r="H197" s="69"/>
    </row>
    <row r="198" spans="1:9" ht="12.75" x14ac:dyDescent="0.2">
      <c r="A198" s="5" t="s">
        <v>403</v>
      </c>
      <c r="B198" s="76" t="s">
        <v>404</v>
      </c>
      <c r="C198" s="68"/>
      <c r="D198" s="69"/>
      <c r="E198" s="77" t="s">
        <v>35</v>
      </c>
      <c r="F198" s="69"/>
      <c r="G198" s="77">
        <f>IFERROR(G197/B198, 0)</f>
        <v>0</v>
      </c>
      <c r="H198" s="69"/>
    </row>
    <row r="199" spans="1:9" ht="25.5" x14ac:dyDescent="0.2">
      <c r="A199" s="17" t="s">
        <v>405</v>
      </c>
      <c r="B199" s="17" t="s">
        <v>406</v>
      </c>
      <c r="C199" s="17" t="s">
        <v>41</v>
      </c>
      <c r="D199" s="17" t="s">
        <v>407</v>
      </c>
      <c r="E199" s="17" t="s">
        <v>408</v>
      </c>
      <c r="F199" s="17" t="s">
        <v>47</v>
      </c>
      <c r="G199" s="17" t="s">
        <v>409</v>
      </c>
      <c r="H199" s="17" t="s">
        <v>410</v>
      </c>
      <c r="I199" s="17" t="s">
        <v>411</v>
      </c>
    </row>
    <row r="200" spans="1:9" ht="12.75" x14ac:dyDescent="0.2">
      <c r="A200" s="22"/>
      <c r="B200" s="24">
        <f t="shared" ref="B200:B206" si="48">E200/(100%-C200)</f>
        <v>0</v>
      </c>
      <c r="C200" s="26">
        <f>IF(I200="Un",0,IFERROR(VLOOKUP(A200,'Mermas por producto'!$A$2:$B$313,2,0),0))</f>
        <v>0</v>
      </c>
      <c r="D200" s="28">
        <f t="shared" ref="D200:D206" si="49">B200*C200</f>
        <v>0</v>
      </c>
      <c r="E200" s="29"/>
      <c r="F200" s="63" t="str">
        <f>IFERROR(VLOOKUP(A200,'Insumos '!A:G,7,0),"")</f>
        <v/>
      </c>
      <c r="G200" s="30">
        <f t="shared" ref="G200:G206" si="50">IFERROR(B200*F200, 0)</f>
        <v>0</v>
      </c>
      <c r="H200" s="31">
        <f t="shared" ref="H200:H206" si="51">IFERROR(G200/$G$207, 0)</f>
        <v>0</v>
      </c>
      <c r="I200" s="64" t="str">
        <f>IFERROR(TRIM(VLOOKUP(A200,'Insumos '!$A$2:$E$313,5,0)&amp;""),"")</f>
        <v/>
      </c>
    </row>
    <row r="201" spans="1:9" ht="12.75" x14ac:dyDescent="0.2">
      <c r="A201" s="22"/>
      <c r="B201" s="24">
        <f t="shared" si="48"/>
        <v>0</v>
      </c>
      <c r="C201" s="26">
        <f>IF(I201="Un",0,IFERROR(VLOOKUP(A201,'Mermas por producto'!$A$2:$B$313,2,0),0))</f>
        <v>0</v>
      </c>
      <c r="D201" s="28">
        <f t="shared" si="49"/>
        <v>0</v>
      </c>
      <c r="E201" s="29"/>
      <c r="F201" s="63" t="str">
        <f>IFERROR(VLOOKUP(A201,'Insumos '!A:G,7,0),"")</f>
        <v/>
      </c>
      <c r="G201" s="30">
        <f t="shared" si="50"/>
        <v>0</v>
      </c>
      <c r="H201" s="31">
        <f t="shared" si="51"/>
        <v>0</v>
      </c>
      <c r="I201" s="64" t="str">
        <f>IFERROR(TRIM(VLOOKUP(A201,'Insumos '!$A$2:$E$313,5,0)&amp;""),"")</f>
        <v/>
      </c>
    </row>
    <row r="202" spans="1:9" ht="12.75" x14ac:dyDescent="0.2">
      <c r="A202" s="22"/>
      <c r="B202" s="24">
        <f t="shared" si="48"/>
        <v>0</v>
      </c>
      <c r="C202" s="26">
        <f>IF(I202="Un",0,IFERROR(VLOOKUP(A202,'Mermas por producto'!$A$2:$B$313,2,0),0))</f>
        <v>0</v>
      </c>
      <c r="D202" s="28">
        <f t="shared" si="49"/>
        <v>0</v>
      </c>
      <c r="E202" s="29"/>
      <c r="F202" s="63" t="str">
        <f>IFERROR(VLOOKUP(A202,'Insumos '!A:G,7,0),"")</f>
        <v/>
      </c>
      <c r="G202" s="30">
        <f t="shared" si="50"/>
        <v>0</v>
      </c>
      <c r="H202" s="31">
        <f t="shared" si="51"/>
        <v>0</v>
      </c>
      <c r="I202" s="64" t="str">
        <f>IFERROR(TRIM(VLOOKUP(A202,'Insumos '!$A$2:$E$313,5,0)&amp;""),"")</f>
        <v/>
      </c>
    </row>
    <row r="203" spans="1:9" ht="12.75" x14ac:dyDescent="0.2">
      <c r="A203" s="22"/>
      <c r="B203" s="24">
        <f t="shared" si="48"/>
        <v>0</v>
      </c>
      <c r="C203" s="26">
        <f>IF(I203="Un",0,IFERROR(VLOOKUP(A203,'Mermas por producto'!$A$2:$B$313,2,0),0))</f>
        <v>0</v>
      </c>
      <c r="D203" s="28">
        <f t="shared" si="49"/>
        <v>0</v>
      </c>
      <c r="E203" s="29"/>
      <c r="F203" s="63" t="str">
        <f>IFERROR(VLOOKUP(A203,'Insumos '!$A$2:$G$313,7,0),"")</f>
        <v/>
      </c>
      <c r="G203" s="30">
        <f t="shared" si="50"/>
        <v>0</v>
      </c>
      <c r="H203" s="31">
        <f t="shared" si="51"/>
        <v>0</v>
      </c>
      <c r="I203" s="64" t="str">
        <f>IFERROR(TRIM(VLOOKUP(A203,'Insumos '!$A$2:$E$313,5,0)&amp;""),"")</f>
        <v/>
      </c>
    </row>
    <row r="204" spans="1:9" ht="12.75" x14ac:dyDescent="0.2">
      <c r="A204" s="22"/>
      <c r="B204" s="24">
        <f t="shared" si="48"/>
        <v>0</v>
      </c>
      <c r="C204" s="26">
        <f>IF(I204="Un",0,IFERROR(VLOOKUP(A204,'Mermas por producto'!$A$2:$B$313,2,0),0))</f>
        <v>0</v>
      </c>
      <c r="D204" s="28">
        <f t="shared" si="49"/>
        <v>0</v>
      </c>
      <c r="E204" s="29"/>
      <c r="F204" s="63" t="str">
        <f>IFERROR(VLOOKUP(A204,'Insumos '!A:G,7,0),"")</f>
        <v/>
      </c>
      <c r="G204" s="30">
        <f t="shared" si="50"/>
        <v>0</v>
      </c>
      <c r="H204" s="31">
        <f t="shared" si="51"/>
        <v>0</v>
      </c>
      <c r="I204" s="64" t="str">
        <f>IFERROR(TRIM(VLOOKUP(A204,'Insumos '!$A$2:$E$313,5,0)&amp;""),"")</f>
        <v/>
      </c>
    </row>
    <row r="205" spans="1:9" ht="12.75" x14ac:dyDescent="0.2">
      <c r="A205" s="22"/>
      <c r="B205" s="24">
        <f t="shared" si="48"/>
        <v>0</v>
      </c>
      <c r="C205" s="26">
        <f>IF(I205="Un",0,IFERROR(VLOOKUP(A205,'Mermas por producto'!$A$2:$B$313,2,0),0))</f>
        <v>0</v>
      </c>
      <c r="D205" s="28">
        <f t="shared" si="49"/>
        <v>0</v>
      </c>
      <c r="E205" s="29"/>
      <c r="F205" s="63" t="str">
        <f>IFERROR(VLOOKUP(A205,'Insumos '!$A$2:$G$313,7,0),"")</f>
        <v/>
      </c>
      <c r="G205" s="30">
        <f t="shared" si="50"/>
        <v>0</v>
      </c>
      <c r="H205" s="31">
        <f t="shared" si="51"/>
        <v>0</v>
      </c>
      <c r="I205" s="64" t="str">
        <f>IFERROR(TRIM(VLOOKUP(A205,'Insumos '!$A$2:$E$313,5,0)&amp;""),"")</f>
        <v/>
      </c>
    </row>
    <row r="206" spans="1:9" ht="12.75" x14ac:dyDescent="0.2">
      <c r="A206" s="22"/>
      <c r="B206" s="24">
        <f t="shared" si="48"/>
        <v>0</v>
      </c>
      <c r="C206" s="26">
        <f>IF(I206="Un",0,IFERROR(VLOOKUP(A206,'Mermas por producto'!$A$2:$B$313,2,0),0))</f>
        <v>0</v>
      </c>
      <c r="D206" s="28">
        <f t="shared" si="49"/>
        <v>0</v>
      </c>
      <c r="E206" s="29"/>
      <c r="F206" s="63" t="str">
        <f>IFERROR(VLOOKUP(A206,'Insumos '!A:G,7,0),"")</f>
        <v/>
      </c>
      <c r="G206" s="30">
        <f t="shared" si="50"/>
        <v>0</v>
      </c>
      <c r="H206" s="31">
        <f t="shared" si="51"/>
        <v>0</v>
      </c>
      <c r="I206" s="64" t="str">
        <f>IFERROR(TRIM(VLOOKUP(A206,'Insumos '!$A$2:$E$313,5,0)&amp;""),"")</f>
        <v/>
      </c>
    </row>
    <row r="207" spans="1:9" ht="25.5" x14ac:dyDescent="0.2">
      <c r="A207" s="32" t="s">
        <v>412</v>
      </c>
      <c r="B207" s="33">
        <f>SUMIF(I200:I206,"&lt;&gt;Un",B200:B206)</f>
        <v>0</v>
      </c>
      <c r="C207" s="32" t="s">
        <v>413</v>
      </c>
      <c r="D207" s="34">
        <f>SUMIF(I200:I206,"&lt;&gt;Un",D200:D206)</f>
        <v>0</v>
      </c>
      <c r="E207" s="33">
        <f>SUMIF(I200:I206,"&lt;&gt;Un",E200:E206)</f>
        <v>0</v>
      </c>
      <c r="F207" s="35" t="s">
        <v>414</v>
      </c>
      <c r="G207" s="36">
        <f>SUM(G200:G206)</f>
        <v>0</v>
      </c>
      <c r="H207" s="37">
        <f>SUM(H200:H206)</f>
        <v>0</v>
      </c>
    </row>
    <row r="208" spans="1:9" ht="12.75" x14ac:dyDescent="0.2">
      <c r="F208" s="4" t="s">
        <v>47</v>
      </c>
      <c r="G208" s="65">
        <f>IFERROR(G207/E207, 0)</f>
        <v>0</v>
      </c>
    </row>
    <row r="209" spans="1:9" ht="12.75" x14ac:dyDescent="0.2">
      <c r="F209" s="4" t="s">
        <v>57</v>
      </c>
      <c r="G209" s="38">
        <f>IFERROR(G207/B198, 0)</f>
        <v>0</v>
      </c>
    </row>
    <row r="211" spans="1:9" ht="12.75" x14ac:dyDescent="0.2">
      <c r="A211" s="77" t="s">
        <v>427</v>
      </c>
      <c r="B211" s="68"/>
      <c r="C211" s="68"/>
      <c r="D211" s="68"/>
      <c r="E211" s="68"/>
      <c r="F211" s="68"/>
      <c r="G211" s="68"/>
      <c r="H211" s="69"/>
    </row>
    <row r="212" spans="1:9" ht="12.75" x14ac:dyDescent="0.2">
      <c r="A212" s="45" t="s">
        <v>400</v>
      </c>
      <c r="B212" s="76"/>
      <c r="C212" s="68"/>
      <c r="D212" s="69"/>
      <c r="E212" s="77" t="s">
        <v>401</v>
      </c>
      <c r="F212" s="69"/>
      <c r="G212" s="78">
        <v>0</v>
      </c>
      <c r="H212" s="69"/>
    </row>
    <row r="213" spans="1:9" ht="12.75" x14ac:dyDescent="0.2">
      <c r="A213" s="5" t="s">
        <v>27</v>
      </c>
      <c r="B213" s="79"/>
      <c r="C213" s="80"/>
      <c r="D213" s="81"/>
      <c r="E213" s="77" t="s">
        <v>402</v>
      </c>
      <c r="F213" s="69"/>
      <c r="G213" s="75">
        <f>E223</f>
        <v>0</v>
      </c>
      <c r="H213" s="69"/>
    </row>
    <row r="214" spans="1:9" ht="12.75" x14ac:dyDescent="0.2">
      <c r="A214" s="5" t="s">
        <v>403</v>
      </c>
      <c r="B214" s="76" t="s">
        <v>404</v>
      </c>
      <c r="C214" s="68"/>
      <c r="D214" s="69"/>
      <c r="E214" s="77" t="s">
        <v>35</v>
      </c>
      <c r="F214" s="69"/>
      <c r="G214" s="77">
        <f>IFERROR(G213/B214, 0)</f>
        <v>0</v>
      </c>
      <c r="H214" s="69"/>
    </row>
    <row r="215" spans="1:9" ht="25.5" x14ac:dyDescent="0.2">
      <c r="A215" s="17" t="s">
        <v>405</v>
      </c>
      <c r="B215" s="17" t="s">
        <v>406</v>
      </c>
      <c r="C215" s="17" t="s">
        <v>41</v>
      </c>
      <c r="D215" s="17" t="s">
        <v>407</v>
      </c>
      <c r="E215" s="17" t="s">
        <v>408</v>
      </c>
      <c r="F215" s="17" t="s">
        <v>47</v>
      </c>
      <c r="G215" s="17" t="s">
        <v>409</v>
      </c>
      <c r="H215" s="17" t="s">
        <v>410</v>
      </c>
      <c r="I215" s="17" t="s">
        <v>411</v>
      </c>
    </row>
    <row r="216" spans="1:9" ht="12.75" x14ac:dyDescent="0.2">
      <c r="A216" s="22"/>
      <c r="B216" s="24">
        <f t="shared" ref="B216:B222" si="52">E216/(100%-C216)</f>
        <v>0</v>
      </c>
      <c r="C216" s="26">
        <f>IF(I216="Un",0,IFERROR(VLOOKUP(A216,'Mermas por producto'!$A$2:$B$313,2,0),0))</f>
        <v>0</v>
      </c>
      <c r="D216" s="28">
        <f t="shared" ref="D216:D222" si="53">B216*C216</f>
        <v>0</v>
      </c>
      <c r="E216" s="29"/>
      <c r="F216" s="63" t="str">
        <f>IFERROR(VLOOKUP(A216,'Insumos '!A:G,7,0),"")</f>
        <v/>
      </c>
      <c r="G216" s="30">
        <f t="shared" ref="G216:G222" si="54">IFERROR(B216*F216, 0)</f>
        <v>0</v>
      </c>
      <c r="H216" s="31">
        <f t="shared" ref="H216:H222" si="55">IFERROR(G216/$G$223, 0)</f>
        <v>0</v>
      </c>
      <c r="I216" s="64" t="str">
        <f>IFERROR(TRIM(VLOOKUP(A216,'Insumos '!$A$2:$E$313,5,0)&amp;""),"")</f>
        <v/>
      </c>
    </row>
    <row r="217" spans="1:9" ht="12.75" x14ac:dyDescent="0.2">
      <c r="A217" s="22"/>
      <c r="B217" s="24">
        <f t="shared" si="52"/>
        <v>0</v>
      </c>
      <c r="C217" s="26">
        <f>IF(I217="Un",0,IFERROR(VLOOKUP(A217,'Mermas por producto'!$A$2:$B$313,2,0),0))</f>
        <v>0</v>
      </c>
      <c r="D217" s="28">
        <f t="shared" si="53"/>
        <v>0</v>
      </c>
      <c r="E217" s="29"/>
      <c r="F217" s="63" t="str">
        <f>IFERROR(VLOOKUP(A217,'Insumos '!A:G,7,0),"")</f>
        <v/>
      </c>
      <c r="G217" s="30">
        <f t="shared" si="54"/>
        <v>0</v>
      </c>
      <c r="H217" s="31">
        <f t="shared" si="55"/>
        <v>0</v>
      </c>
      <c r="I217" s="64" t="str">
        <f>IFERROR(TRIM(VLOOKUP(A217,'Insumos '!$A$2:$E$313,5,0)&amp;""),"")</f>
        <v/>
      </c>
    </row>
    <row r="218" spans="1:9" ht="12.75" x14ac:dyDescent="0.2">
      <c r="A218" s="22"/>
      <c r="B218" s="24">
        <f t="shared" si="52"/>
        <v>0</v>
      </c>
      <c r="C218" s="26">
        <f>IF(I218="Un",0,IFERROR(VLOOKUP(A218,'Mermas por producto'!$A$2:$B$313,2,0),0))</f>
        <v>0</v>
      </c>
      <c r="D218" s="28">
        <f t="shared" si="53"/>
        <v>0</v>
      </c>
      <c r="E218" s="29"/>
      <c r="F218" s="63" t="str">
        <f>IFERROR(VLOOKUP(A218,'Insumos '!A:G,7,0),"")</f>
        <v/>
      </c>
      <c r="G218" s="30">
        <f t="shared" si="54"/>
        <v>0</v>
      </c>
      <c r="H218" s="31">
        <f t="shared" si="55"/>
        <v>0</v>
      </c>
      <c r="I218" s="64" t="str">
        <f>IFERROR(TRIM(VLOOKUP(A218,'Insumos '!$A$2:$E$313,5,0)&amp;""),"")</f>
        <v/>
      </c>
    </row>
    <row r="219" spans="1:9" ht="12.75" x14ac:dyDescent="0.2">
      <c r="A219" s="22"/>
      <c r="B219" s="24">
        <f t="shared" si="52"/>
        <v>0</v>
      </c>
      <c r="C219" s="26">
        <f>IF(I219="Un",0,IFERROR(VLOOKUP(A219,'Mermas por producto'!$A$2:$B$313,2,0),0))</f>
        <v>0</v>
      </c>
      <c r="D219" s="28">
        <f t="shared" si="53"/>
        <v>0</v>
      </c>
      <c r="E219" s="29"/>
      <c r="F219" s="63" t="str">
        <f>IFERROR(VLOOKUP(A219,'Insumos '!$A$2:$G$313,7,0),"")</f>
        <v/>
      </c>
      <c r="G219" s="30">
        <f t="shared" si="54"/>
        <v>0</v>
      </c>
      <c r="H219" s="31">
        <f t="shared" si="55"/>
        <v>0</v>
      </c>
      <c r="I219" s="64" t="str">
        <f>IFERROR(TRIM(VLOOKUP(A219,'Insumos '!$A$2:$E$313,5,0)&amp;""),"")</f>
        <v/>
      </c>
    </row>
    <row r="220" spans="1:9" ht="12.75" x14ac:dyDescent="0.2">
      <c r="A220" s="22"/>
      <c r="B220" s="24">
        <f t="shared" si="52"/>
        <v>0</v>
      </c>
      <c r="C220" s="26">
        <f>IF(I220="Un",0,IFERROR(VLOOKUP(A220,'Mermas por producto'!$A$2:$B$313,2,0),0))</f>
        <v>0</v>
      </c>
      <c r="D220" s="28">
        <f t="shared" si="53"/>
        <v>0</v>
      </c>
      <c r="E220" s="29"/>
      <c r="F220" s="63" t="str">
        <f>IFERROR(VLOOKUP(A220,'Insumos '!A:G,7,0),"")</f>
        <v/>
      </c>
      <c r="G220" s="30">
        <f t="shared" si="54"/>
        <v>0</v>
      </c>
      <c r="H220" s="31">
        <f t="shared" si="55"/>
        <v>0</v>
      </c>
      <c r="I220" s="64" t="str">
        <f>IFERROR(TRIM(VLOOKUP(A220,'Insumos '!$A$2:$E$313,5,0)&amp;""),"")</f>
        <v/>
      </c>
    </row>
    <row r="221" spans="1:9" ht="12.75" x14ac:dyDescent="0.2">
      <c r="A221" s="22"/>
      <c r="B221" s="24">
        <f t="shared" si="52"/>
        <v>0</v>
      </c>
      <c r="C221" s="26">
        <f>IF(I221="Un",0,IFERROR(VLOOKUP(A221,'Mermas por producto'!$A$2:$B$313,2,0),0))</f>
        <v>0</v>
      </c>
      <c r="D221" s="28">
        <f t="shared" si="53"/>
        <v>0</v>
      </c>
      <c r="E221" s="29"/>
      <c r="F221" s="63" t="str">
        <f>IFERROR(VLOOKUP(A221,'Insumos '!$A$2:$G$313,7,0),"")</f>
        <v/>
      </c>
      <c r="G221" s="30">
        <f t="shared" si="54"/>
        <v>0</v>
      </c>
      <c r="H221" s="31">
        <f t="shared" si="55"/>
        <v>0</v>
      </c>
      <c r="I221" s="64" t="str">
        <f>IFERROR(TRIM(VLOOKUP(A221,'Insumos '!$A$2:$E$313,5,0)&amp;""),"")</f>
        <v/>
      </c>
    </row>
    <row r="222" spans="1:9" ht="12.75" x14ac:dyDescent="0.2">
      <c r="A222" s="22"/>
      <c r="B222" s="24">
        <f t="shared" si="52"/>
        <v>0</v>
      </c>
      <c r="C222" s="26">
        <f>IF(I222="Un",0,IFERROR(VLOOKUP(A222,'Mermas por producto'!$A$2:$B$313,2,0),0))</f>
        <v>0</v>
      </c>
      <c r="D222" s="28">
        <f t="shared" si="53"/>
        <v>0</v>
      </c>
      <c r="E222" s="29"/>
      <c r="F222" s="63" t="str">
        <f>IFERROR(VLOOKUP(A222,'Insumos '!A:G,7,0),"")</f>
        <v/>
      </c>
      <c r="G222" s="30">
        <f t="shared" si="54"/>
        <v>0</v>
      </c>
      <c r="H222" s="31">
        <f t="shared" si="55"/>
        <v>0</v>
      </c>
      <c r="I222" s="64" t="str">
        <f>IFERROR(TRIM(VLOOKUP(A222,'Insumos '!$A$2:$E$313,5,0)&amp;""),"")</f>
        <v/>
      </c>
    </row>
    <row r="223" spans="1:9" ht="25.5" x14ac:dyDescent="0.2">
      <c r="A223" s="32" t="s">
        <v>412</v>
      </c>
      <c r="B223" s="33">
        <f>SUMIF(I216:I222,"&lt;&gt;Un",B216:B222)</f>
        <v>0</v>
      </c>
      <c r="C223" s="32" t="s">
        <v>413</v>
      </c>
      <c r="D223" s="34">
        <f>SUMIF(I216:I222,"&lt;&gt;Un",D216:D222)</f>
        <v>0</v>
      </c>
      <c r="E223" s="33">
        <f>SUMIF(I216:I222,"&lt;&gt;Un",E216:E222)</f>
        <v>0</v>
      </c>
      <c r="F223" s="35" t="s">
        <v>414</v>
      </c>
      <c r="G223" s="36">
        <f>SUM(G216:G222)</f>
        <v>0</v>
      </c>
      <c r="H223" s="37">
        <f>SUM(H216:H222)</f>
        <v>0</v>
      </c>
    </row>
    <row r="224" spans="1:9" ht="12.75" x14ac:dyDescent="0.2">
      <c r="F224" s="4" t="s">
        <v>47</v>
      </c>
      <c r="G224" s="65">
        <f>IFERROR(G223/E223, 0)</f>
        <v>0</v>
      </c>
    </row>
    <row r="225" spans="1:9" ht="12.75" x14ac:dyDescent="0.2">
      <c r="F225" s="4" t="s">
        <v>57</v>
      </c>
      <c r="G225" s="38">
        <f>IFERROR(G223/B214, 0)</f>
        <v>0</v>
      </c>
    </row>
    <row r="227" spans="1:9" ht="12.75" x14ac:dyDescent="0.2">
      <c r="A227" s="77" t="s">
        <v>428</v>
      </c>
      <c r="B227" s="68"/>
      <c r="C227" s="68"/>
      <c r="D227" s="68"/>
      <c r="E227" s="68"/>
      <c r="F227" s="68"/>
      <c r="G227" s="68"/>
      <c r="H227" s="69"/>
    </row>
    <row r="228" spans="1:9" ht="12.75" x14ac:dyDescent="0.2">
      <c r="A228" s="45" t="s">
        <v>400</v>
      </c>
      <c r="B228" s="76"/>
      <c r="C228" s="68"/>
      <c r="D228" s="69"/>
      <c r="E228" s="77" t="s">
        <v>401</v>
      </c>
      <c r="F228" s="69"/>
      <c r="G228" s="78">
        <v>0</v>
      </c>
      <c r="H228" s="69"/>
    </row>
    <row r="229" spans="1:9" ht="12.75" x14ac:dyDescent="0.2">
      <c r="A229" s="5" t="s">
        <v>27</v>
      </c>
      <c r="B229" s="79"/>
      <c r="C229" s="80"/>
      <c r="D229" s="81"/>
      <c r="E229" s="77" t="s">
        <v>402</v>
      </c>
      <c r="F229" s="69"/>
      <c r="G229" s="75">
        <f>E239</f>
        <v>0</v>
      </c>
      <c r="H229" s="69"/>
    </row>
    <row r="230" spans="1:9" ht="12.75" x14ac:dyDescent="0.2">
      <c r="A230" s="5" t="s">
        <v>403</v>
      </c>
      <c r="B230" s="76" t="s">
        <v>404</v>
      </c>
      <c r="C230" s="68"/>
      <c r="D230" s="69"/>
      <c r="E230" s="77" t="s">
        <v>35</v>
      </c>
      <c r="F230" s="69"/>
      <c r="G230" s="77">
        <f>IFERROR(G229/B230, 0)</f>
        <v>0</v>
      </c>
      <c r="H230" s="69"/>
    </row>
    <row r="231" spans="1:9" ht="25.5" x14ac:dyDescent="0.2">
      <c r="A231" s="17" t="s">
        <v>405</v>
      </c>
      <c r="B231" s="17" t="s">
        <v>406</v>
      </c>
      <c r="C231" s="17" t="s">
        <v>41</v>
      </c>
      <c r="D231" s="17" t="s">
        <v>407</v>
      </c>
      <c r="E231" s="17" t="s">
        <v>408</v>
      </c>
      <c r="F231" s="17" t="s">
        <v>47</v>
      </c>
      <c r="G231" s="17" t="s">
        <v>409</v>
      </c>
      <c r="H231" s="17" t="s">
        <v>410</v>
      </c>
      <c r="I231" s="17" t="s">
        <v>411</v>
      </c>
    </row>
    <row r="232" spans="1:9" ht="12.75" x14ac:dyDescent="0.2">
      <c r="A232" s="22"/>
      <c r="B232" s="24">
        <f t="shared" ref="B232:B238" si="56">E232/(100%-C232)</f>
        <v>0</v>
      </c>
      <c r="C232" s="26">
        <f>IF(I232="Un",0,IFERROR(VLOOKUP(A232,'Mermas por producto'!$A$2:$B$313,2,0),0))</f>
        <v>0</v>
      </c>
      <c r="D232" s="28">
        <f t="shared" ref="D232:D238" si="57">B232*C232</f>
        <v>0</v>
      </c>
      <c r="E232" s="29"/>
      <c r="F232" s="63" t="str">
        <f>IFERROR(VLOOKUP(A232,'Insumos '!A:G,7,0),"")</f>
        <v/>
      </c>
      <c r="G232" s="30">
        <f t="shared" ref="G232:G238" si="58">IFERROR(B232*F232, 0)</f>
        <v>0</v>
      </c>
      <c r="H232" s="31">
        <f t="shared" ref="H232:H238" si="59">IFERROR(G232/$G$239, 0)</f>
        <v>0</v>
      </c>
      <c r="I232" s="64" t="str">
        <f>IFERROR(TRIM(VLOOKUP(A232,'Insumos '!$A$2:$E$313,5,0)&amp;""),"")</f>
        <v/>
      </c>
    </row>
    <row r="233" spans="1:9" ht="12.75" x14ac:dyDescent="0.2">
      <c r="A233" s="22"/>
      <c r="B233" s="24">
        <f t="shared" si="56"/>
        <v>0</v>
      </c>
      <c r="C233" s="26">
        <f>IF(I233="Un",0,IFERROR(VLOOKUP(A233,'Mermas por producto'!$A$2:$B$313,2,0),0))</f>
        <v>0</v>
      </c>
      <c r="D233" s="28">
        <f t="shared" si="57"/>
        <v>0</v>
      </c>
      <c r="E233" s="29"/>
      <c r="F233" s="63" t="str">
        <f>IFERROR(VLOOKUP(A233,'Insumos '!A:G,7,0),"")</f>
        <v/>
      </c>
      <c r="G233" s="30">
        <f t="shared" si="58"/>
        <v>0</v>
      </c>
      <c r="H233" s="31">
        <f t="shared" si="59"/>
        <v>0</v>
      </c>
      <c r="I233" s="64" t="str">
        <f>IFERROR(TRIM(VLOOKUP(A233,'Insumos '!$A$2:$E$313,5,0)&amp;""),"")</f>
        <v/>
      </c>
    </row>
    <row r="234" spans="1:9" ht="12.75" x14ac:dyDescent="0.2">
      <c r="A234" s="22"/>
      <c r="B234" s="24">
        <f t="shared" si="56"/>
        <v>0</v>
      </c>
      <c r="C234" s="26">
        <f>IF(I234="Un",0,IFERROR(VLOOKUP(A234,'Mermas por producto'!$A$2:$B$313,2,0),0))</f>
        <v>0</v>
      </c>
      <c r="D234" s="28">
        <f t="shared" si="57"/>
        <v>0</v>
      </c>
      <c r="E234" s="29"/>
      <c r="F234" s="63" t="str">
        <f>IFERROR(VLOOKUP(A234,'Insumos '!A:G,7,0),"")</f>
        <v/>
      </c>
      <c r="G234" s="30">
        <f t="shared" si="58"/>
        <v>0</v>
      </c>
      <c r="H234" s="31">
        <f t="shared" si="59"/>
        <v>0</v>
      </c>
      <c r="I234" s="64" t="str">
        <f>IFERROR(TRIM(VLOOKUP(A234,'Insumos '!$A$2:$E$313,5,0)&amp;""),"")</f>
        <v/>
      </c>
    </row>
    <row r="235" spans="1:9" ht="12.75" x14ac:dyDescent="0.2">
      <c r="A235" s="22"/>
      <c r="B235" s="24">
        <f t="shared" si="56"/>
        <v>0</v>
      </c>
      <c r="C235" s="26">
        <f>IF(I235="Un",0,IFERROR(VLOOKUP(A235,'Mermas por producto'!$A$2:$B$313,2,0),0))</f>
        <v>0</v>
      </c>
      <c r="D235" s="28">
        <f t="shared" si="57"/>
        <v>0</v>
      </c>
      <c r="E235" s="29"/>
      <c r="F235" s="63" t="str">
        <f>IFERROR(VLOOKUP(A235,'Insumos '!$A$2:$G$313,7,0),"")</f>
        <v/>
      </c>
      <c r="G235" s="30">
        <f t="shared" si="58"/>
        <v>0</v>
      </c>
      <c r="H235" s="31">
        <f t="shared" si="59"/>
        <v>0</v>
      </c>
      <c r="I235" s="64" t="str">
        <f>IFERROR(TRIM(VLOOKUP(A235,'Insumos '!$A$2:$E$313,5,0)&amp;""),"")</f>
        <v/>
      </c>
    </row>
    <row r="236" spans="1:9" ht="12.75" x14ac:dyDescent="0.2">
      <c r="A236" s="22"/>
      <c r="B236" s="24">
        <f t="shared" si="56"/>
        <v>0</v>
      </c>
      <c r="C236" s="26">
        <f>IF(I236="Un",0,IFERROR(VLOOKUP(A236,'Mermas por producto'!$A$2:$B$313,2,0),0))</f>
        <v>0</v>
      </c>
      <c r="D236" s="28">
        <f t="shared" si="57"/>
        <v>0</v>
      </c>
      <c r="E236" s="29"/>
      <c r="F236" s="63" t="str">
        <f>IFERROR(VLOOKUP(A236,'Insumos '!A:G,7,0),"")</f>
        <v/>
      </c>
      <c r="G236" s="30">
        <f t="shared" si="58"/>
        <v>0</v>
      </c>
      <c r="H236" s="31">
        <f t="shared" si="59"/>
        <v>0</v>
      </c>
      <c r="I236" s="64" t="str">
        <f>IFERROR(TRIM(VLOOKUP(A236,'Insumos '!$A$2:$E$313,5,0)&amp;""),"")</f>
        <v/>
      </c>
    </row>
    <row r="237" spans="1:9" ht="12.75" x14ac:dyDescent="0.2">
      <c r="A237" s="22"/>
      <c r="B237" s="24">
        <f t="shared" si="56"/>
        <v>0</v>
      </c>
      <c r="C237" s="26">
        <f>IF(I237="Un",0,IFERROR(VLOOKUP(A237,'Mermas por producto'!$A$2:$B$313,2,0),0))</f>
        <v>0</v>
      </c>
      <c r="D237" s="28">
        <f t="shared" si="57"/>
        <v>0</v>
      </c>
      <c r="E237" s="29"/>
      <c r="F237" s="63" t="str">
        <f>IFERROR(VLOOKUP(A237,'Insumos '!$A$2:$G$313,7,0),"")</f>
        <v/>
      </c>
      <c r="G237" s="30">
        <f t="shared" si="58"/>
        <v>0</v>
      </c>
      <c r="H237" s="31">
        <f t="shared" si="59"/>
        <v>0</v>
      </c>
      <c r="I237" s="64" t="str">
        <f>IFERROR(TRIM(VLOOKUP(A237,'Insumos '!$A$2:$E$313,5,0)&amp;""),"")</f>
        <v/>
      </c>
    </row>
    <row r="238" spans="1:9" ht="12.75" x14ac:dyDescent="0.2">
      <c r="A238" s="22"/>
      <c r="B238" s="24">
        <f t="shared" si="56"/>
        <v>0</v>
      </c>
      <c r="C238" s="26">
        <f>IF(I238="Un",0,IFERROR(VLOOKUP(A238,'Mermas por producto'!$A$2:$B$313,2,0),0))</f>
        <v>0</v>
      </c>
      <c r="D238" s="28">
        <f t="shared" si="57"/>
        <v>0</v>
      </c>
      <c r="E238" s="29"/>
      <c r="F238" s="63" t="str">
        <f>IFERROR(VLOOKUP(A238,'Insumos '!A:G,7,0),"")</f>
        <v/>
      </c>
      <c r="G238" s="30">
        <f t="shared" si="58"/>
        <v>0</v>
      </c>
      <c r="H238" s="31">
        <f t="shared" si="59"/>
        <v>0</v>
      </c>
      <c r="I238" s="64" t="str">
        <f>IFERROR(TRIM(VLOOKUP(A238,'Insumos '!$A$2:$E$313,5,0)&amp;""),"")</f>
        <v/>
      </c>
    </row>
    <row r="239" spans="1:9" ht="25.5" x14ac:dyDescent="0.2">
      <c r="A239" s="32" t="s">
        <v>412</v>
      </c>
      <c r="B239" s="33">
        <f>SUMIF(I232:I238,"&lt;&gt;Un",B232:B238)</f>
        <v>0</v>
      </c>
      <c r="C239" s="32" t="s">
        <v>413</v>
      </c>
      <c r="D239" s="34">
        <f>SUMIF(I232:I238,"&lt;&gt;Un",D232:D238)</f>
        <v>0</v>
      </c>
      <c r="E239" s="33">
        <f>SUMIF(I232:I238,"&lt;&gt;Un",E232:E238)</f>
        <v>0</v>
      </c>
      <c r="F239" s="35" t="s">
        <v>414</v>
      </c>
      <c r="G239" s="36">
        <f>SUM(G232:G238)</f>
        <v>0</v>
      </c>
      <c r="H239" s="37">
        <f>SUM(H232:H238)</f>
        <v>0</v>
      </c>
    </row>
    <row r="240" spans="1:9" ht="12.75" x14ac:dyDescent="0.2">
      <c r="F240" s="4" t="s">
        <v>47</v>
      </c>
      <c r="G240" s="65">
        <f>IFERROR(G239/E239, 0)</f>
        <v>0</v>
      </c>
    </row>
    <row r="241" spans="1:9" ht="12.75" x14ac:dyDescent="0.2">
      <c r="F241" s="4" t="s">
        <v>57</v>
      </c>
      <c r="G241" s="38">
        <f>IFERROR(G239/B230, 0)</f>
        <v>0</v>
      </c>
    </row>
    <row r="243" spans="1:9" ht="12.75" x14ac:dyDescent="0.2">
      <c r="A243" s="77" t="s">
        <v>429</v>
      </c>
      <c r="B243" s="68"/>
      <c r="C243" s="68"/>
      <c r="D243" s="68"/>
      <c r="E243" s="68"/>
      <c r="F243" s="68"/>
      <c r="G243" s="68"/>
      <c r="H243" s="69"/>
    </row>
    <row r="244" spans="1:9" ht="12.75" x14ac:dyDescent="0.2">
      <c r="A244" s="45" t="s">
        <v>400</v>
      </c>
      <c r="B244" s="76"/>
      <c r="C244" s="68"/>
      <c r="D244" s="69"/>
      <c r="E244" s="77" t="s">
        <v>401</v>
      </c>
      <c r="F244" s="69"/>
      <c r="G244" s="78">
        <v>0</v>
      </c>
      <c r="H244" s="69"/>
    </row>
    <row r="245" spans="1:9" ht="12.75" x14ac:dyDescent="0.2">
      <c r="A245" s="5" t="s">
        <v>27</v>
      </c>
      <c r="B245" s="79"/>
      <c r="C245" s="80"/>
      <c r="D245" s="81"/>
      <c r="E245" s="77" t="s">
        <v>402</v>
      </c>
      <c r="F245" s="69"/>
      <c r="G245" s="75">
        <f>E255</f>
        <v>0</v>
      </c>
      <c r="H245" s="69"/>
    </row>
    <row r="246" spans="1:9" ht="12.75" x14ac:dyDescent="0.2">
      <c r="A246" s="5" t="s">
        <v>403</v>
      </c>
      <c r="B246" s="76" t="s">
        <v>404</v>
      </c>
      <c r="C246" s="68"/>
      <c r="D246" s="69"/>
      <c r="E246" s="77" t="s">
        <v>35</v>
      </c>
      <c r="F246" s="69"/>
      <c r="G246" s="77">
        <f>IFERROR(G245/B246, 0)</f>
        <v>0</v>
      </c>
      <c r="H246" s="69"/>
    </row>
    <row r="247" spans="1:9" ht="25.5" x14ac:dyDescent="0.2">
      <c r="A247" s="17" t="s">
        <v>405</v>
      </c>
      <c r="B247" s="17" t="s">
        <v>406</v>
      </c>
      <c r="C247" s="17" t="s">
        <v>41</v>
      </c>
      <c r="D247" s="17" t="s">
        <v>407</v>
      </c>
      <c r="E247" s="17" t="s">
        <v>408</v>
      </c>
      <c r="F247" s="17" t="s">
        <v>47</v>
      </c>
      <c r="G247" s="17" t="s">
        <v>409</v>
      </c>
      <c r="H247" s="17" t="s">
        <v>410</v>
      </c>
      <c r="I247" s="17" t="s">
        <v>411</v>
      </c>
    </row>
    <row r="248" spans="1:9" ht="12.75" x14ac:dyDescent="0.2">
      <c r="A248" s="22"/>
      <c r="B248" s="24">
        <f t="shared" ref="B248:B254" si="60">E248/(100%-C248)</f>
        <v>0</v>
      </c>
      <c r="C248" s="26">
        <f>IF(I248="Un",0,IFERROR(VLOOKUP(A248,'Mermas por producto'!$A$2:$B$313,2,0),0))</f>
        <v>0</v>
      </c>
      <c r="D248" s="28">
        <f t="shared" ref="D248:D254" si="61">B248*C248</f>
        <v>0</v>
      </c>
      <c r="E248" s="29"/>
      <c r="F248" s="63" t="str">
        <f>IFERROR(VLOOKUP(A248,'Insumos '!A:G,7,0),"")</f>
        <v/>
      </c>
      <c r="G248" s="30">
        <f t="shared" ref="G248:G254" si="62">IFERROR(B248*F248, 0)</f>
        <v>0</v>
      </c>
      <c r="H248" s="31">
        <f t="shared" ref="H248:H254" si="63">IFERROR(G248/$G$255, 0)</f>
        <v>0</v>
      </c>
      <c r="I248" s="64" t="str">
        <f>IFERROR(TRIM(VLOOKUP(A248,'Insumos '!$A$2:$E$313,5,0)&amp;""),"")</f>
        <v/>
      </c>
    </row>
    <row r="249" spans="1:9" ht="12.75" x14ac:dyDescent="0.2">
      <c r="A249" s="22"/>
      <c r="B249" s="24">
        <f t="shared" si="60"/>
        <v>0</v>
      </c>
      <c r="C249" s="26">
        <f>IF(I249="Un",0,IFERROR(VLOOKUP(A249,'Mermas por producto'!$A$2:$B$313,2,0),0))</f>
        <v>0</v>
      </c>
      <c r="D249" s="28">
        <f t="shared" si="61"/>
        <v>0</v>
      </c>
      <c r="E249" s="29"/>
      <c r="F249" s="63" t="str">
        <f>IFERROR(VLOOKUP(A249,'Insumos '!A:G,7,0),"")</f>
        <v/>
      </c>
      <c r="G249" s="30">
        <f t="shared" si="62"/>
        <v>0</v>
      </c>
      <c r="H249" s="31">
        <f t="shared" si="63"/>
        <v>0</v>
      </c>
      <c r="I249" s="64" t="str">
        <f>IFERROR(TRIM(VLOOKUP(A249,'Insumos '!$A$2:$E$313,5,0)&amp;""),"")</f>
        <v/>
      </c>
    </row>
    <row r="250" spans="1:9" ht="12.75" x14ac:dyDescent="0.2">
      <c r="A250" s="22"/>
      <c r="B250" s="24">
        <f t="shared" si="60"/>
        <v>0</v>
      </c>
      <c r="C250" s="26">
        <f>IF(I250="Un",0,IFERROR(VLOOKUP(A250,'Mermas por producto'!$A$2:$B$313,2,0),0))</f>
        <v>0</v>
      </c>
      <c r="D250" s="28">
        <f t="shared" si="61"/>
        <v>0</v>
      </c>
      <c r="E250" s="29"/>
      <c r="F250" s="63" t="str">
        <f>IFERROR(VLOOKUP(A250,'Insumos '!A:G,7,0),"")</f>
        <v/>
      </c>
      <c r="G250" s="30">
        <f t="shared" si="62"/>
        <v>0</v>
      </c>
      <c r="H250" s="31">
        <f t="shared" si="63"/>
        <v>0</v>
      </c>
      <c r="I250" s="64" t="str">
        <f>IFERROR(TRIM(VLOOKUP(A250,'Insumos '!$A$2:$E$313,5,0)&amp;""),"")</f>
        <v/>
      </c>
    </row>
    <row r="251" spans="1:9" ht="12.75" x14ac:dyDescent="0.2">
      <c r="A251" s="22"/>
      <c r="B251" s="24">
        <f t="shared" si="60"/>
        <v>0</v>
      </c>
      <c r="C251" s="26">
        <f>IF(I251="Un",0,IFERROR(VLOOKUP(A251,'Mermas por producto'!$A$2:$B$313,2,0),0))</f>
        <v>0</v>
      </c>
      <c r="D251" s="28">
        <f t="shared" si="61"/>
        <v>0</v>
      </c>
      <c r="E251" s="29"/>
      <c r="F251" s="63" t="str">
        <f>IFERROR(VLOOKUP(A251,'Insumos '!$A$2:$G$313,7,0),"")</f>
        <v/>
      </c>
      <c r="G251" s="30">
        <f t="shared" si="62"/>
        <v>0</v>
      </c>
      <c r="H251" s="31">
        <f t="shared" si="63"/>
        <v>0</v>
      </c>
      <c r="I251" s="64" t="str">
        <f>IFERROR(TRIM(VLOOKUP(A251,'Insumos '!$A$2:$E$313,5,0)&amp;""),"")</f>
        <v/>
      </c>
    </row>
    <row r="252" spans="1:9" ht="12.75" x14ac:dyDescent="0.2">
      <c r="A252" s="22"/>
      <c r="B252" s="24">
        <f t="shared" si="60"/>
        <v>0</v>
      </c>
      <c r="C252" s="26">
        <f>IF(I252="Un",0,IFERROR(VLOOKUP(A252,'Mermas por producto'!$A$2:$B$313,2,0),0))</f>
        <v>0</v>
      </c>
      <c r="D252" s="28">
        <f t="shared" si="61"/>
        <v>0</v>
      </c>
      <c r="E252" s="29"/>
      <c r="F252" s="63" t="str">
        <f>IFERROR(VLOOKUP(A252,'Insumos '!A:G,7,0),"")</f>
        <v/>
      </c>
      <c r="G252" s="30">
        <f t="shared" si="62"/>
        <v>0</v>
      </c>
      <c r="H252" s="31">
        <f t="shared" si="63"/>
        <v>0</v>
      </c>
      <c r="I252" s="64" t="str">
        <f>IFERROR(TRIM(VLOOKUP(A252,'Insumos '!$A$2:$E$313,5,0)&amp;""),"")</f>
        <v/>
      </c>
    </row>
    <row r="253" spans="1:9" ht="12.75" x14ac:dyDescent="0.2">
      <c r="A253" s="22"/>
      <c r="B253" s="24">
        <f t="shared" si="60"/>
        <v>0</v>
      </c>
      <c r="C253" s="26">
        <f>IF(I253="Un",0,IFERROR(VLOOKUP(A253,'Mermas por producto'!$A$2:$B$313,2,0),0))</f>
        <v>0</v>
      </c>
      <c r="D253" s="28">
        <f t="shared" si="61"/>
        <v>0</v>
      </c>
      <c r="E253" s="29"/>
      <c r="F253" s="63" t="str">
        <f>IFERROR(VLOOKUP(A253,'Insumos '!$A$2:$G$313,7,0),"")</f>
        <v/>
      </c>
      <c r="G253" s="30">
        <f t="shared" si="62"/>
        <v>0</v>
      </c>
      <c r="H253" s="31">
        <f t="shared" si="63"/>
        <v>0</v>
      </c>
      <c r="I253" s="64" t="str">
        <f>IFERROR(TRIM(VLOOKUP(A253,'Insumos '!$A$2:$E$313,5,0)&amp;""),"")</f>
        <v/>
      </c>
    </row>
    <row r="254" spans="1:9" ht="12.75" x14ac:dyDescent="0.2">
      <c r="A254" s="22"/>
      <c r="B254" s="24">
        <f t="shared" si="60"/>
        <v>0</v>
      </c>
      <c r="C254" s="26">
        <f>IF(I254="Un",0,IFERROR(VLOOKUP(A254,'Mermas por producto'!$A$2:$B$313,2,0),0))</f>
        <v>0</v>
      </c>
      <c r="D254" s="28">
        <f t="shared" si="61"/>
        <v>0</v>
      </c>
      <c r="E254" s="29"/>
      <c r="F254" s="63" t="str">
        <f>IFERROR(VLOOKUP(A254,'Insumos '!A:G,7,0),"")</f>
        <v/>
      </c>
      <c r="G254" s="30">
        <f t="shared" si="62"/>
        <v>0</v>
      </c>
      <c r="H254" s="31">
        <f t="shared" si="63"/>
        <v>0</v>
      </c>
      <c r="I254" s="64" t="str">
        <f>IFERROR(TRIM(VLOOKUP(A254,'Insumos '!$A$2:$E$313,5,0)&amp;""),"")</f>
        <v/>
      </c>
    </row>
    <row r="255" spans="1:9" ht="25.5" x14ac:dyDescent="0.2">
      <c r="A255" s="32" t="s">
        <v>412</v>
      </c>
      <c r="B255" s="33">
        <f>SUMIF(I248:I254,"&lt;&gt;Un",B248:B254)</f>
        <v>0</v>
      </c>
      <c r="C255" s="32" t="s">
        <v>413</v>
      </c>
      <c r="D255" s="34">
        <f>SUMIF(I248:I254,"&lt;&gt;Un",D248:D254)</f>
        <v>0</v>
      </c>
      <c r="E255" s="33">
        <f>SUMIF(I248:I254,"&lt;&gt;Un",E248:E254)</f>
        <v>0</v>
      </c>
      <c r="F255" s="35" t="s">
        <v>414</v>
      </c>
      <c r="G255" s="36">
        <f>SUM(G248:G254)</f>
        <v>0</v>
      </c>
      <c r="H255" s="37">
        <f>SUM(H248:H254)</f>
        <v>0</v>
      </c>
    </row>
    <row r="256" spans="1:9" ht="12.75" x14ac:dyDescent="0.2">
      <c r="F256" s="4" t="s">
        <v>47</v>
      </c>
      <c r="G256" s="65">
        <f>IFERROR(G255/E255, 0)</f>
        <v>0</v>
      </c>
    </row>
    <row r="257" spans="1:9" ht="12.75" x14ac:dyDescent="0.2">
      <c r="F257" s="4" t="s">
        <v>57</v>
      </c>
      <c r="G257" s="38">
        <f>IFERROR(G255/B246, 0)</f>
        <v>0</v>
      </c>
    </row>
    <row r="259" spans="1:9" ht="12.75" x14ac:dyDescent="0.2">
      <c r="A259" s="77" t="s">
        <v>430</v>
      </c>
      <c r="B259" s="68"/>
      <c r="C259" s="68"/>
      <c r="D259" s="68"/>
      <c r="E259" s="68"/>
      <c r="F259" s="68"/>
      <c r="G259" s="68"/>
      <c r="H259" s="69"/>
    </row>
    <row r="260" spans="1:9" ht="12.75" x14ac:dyDescent="0.2">
      <c r="A260" s="45" t="s">
        <v>400</v>
      </c>
      <c r="B260" s="76"/>
      <c r="C260" s="68"/>
      <c r="D260" s="69"/>
      <c r="E260" s="77" t="s">
        <v>401</v>
      </c>
      <c r="F260" s="69"/>
      <c r="G260" s="78">
        <v>0</v>
      </c>
      <c r="H260" s="69"/>
    </row>
    <row r="261" spans="1:9" ht="12.75" x14ac:dyDescent="0.2">
      <c r="A261" s="5" t="s">
        <v>27</v>
      </c>
      <c r="B261" s="79"/>
      <c r="C261" s="80"/>
      <c r="D261" s="81"/>
      <c r="E261" s="77" t="s">
        <v>402</v>
      </c>
      <c r="F261" s="69"/>
      <c r="G261" s="75">
        <f>E271</f>
        <v>0</v>
      </c>
      <c r="H261" s="69"/>
    </row>
    <row r="262" spans="1:9" ht="12.75" x14ac:dyDescent="0.2">
      <c r="A262" s="5" t="s">
        <v>403</v>
      </c>
      <c r="B262" s="76" t="s">
        <v>404</v>
      </c>
      <c r="C262" s="68"/>
      <c r="D262" s="69"/>
      <c r="E262" s="77" t="s">
        <v>35</v>
      </c>
      <c r="F262" s="69"/>
      <c r="G262" s="77">
        <f>IFERROR(G261/B262, 0)</f>
        <v>0</v>
      </c>
      <c r="H262" s="69"/>
    </row>
    <row r="263" spans="1:9" ht="25.5" x14ac:dyDescent="0.2">
      <c r="A263" s="17" t="s">
        <v>405</v>
      </c>
      <c r="B263" s="17" t="s">
        <v>406</v>
      </c>
      <c r="C263" s="17" t="s">
        <v>41</v>
      </c>
      <c r="D263" s="17" t="s">
        <v>407</v>
      </c>
      <c r="E263" s="17" t="s">
        <v>408</v>
      </c>
      <c r="F263" s="17" t="s">
        <v>47</v>
      </c>
      <c r="G263" s="17" t="s">
        <v>409</v>
      </c>
      <c r="H263" s="17" t="s">
        <v>410</v>
      </c>
      <c r="I263" s="17" t="s">
        <v>411</v>
      </c>
    </row>
    <row r="264" spans="1:9" ht="12.75" x14ac:dyDescent="0.2">
      <c r="A264" s="22"/>
      <c r="B264" s="24">
        <f t="shared" ref="B264:B270" si="64">E264/(100%-C264)</f>
        <v>0</v>
      </c>
      <c r="C264" s="26">
        <f>IF(I264="Un",0,IFERROR(VLOOKUP(A264,'Mermas por producto'!$A$2:$B$313,2,0),0))</f>
        <v>0</v>
      </c>
      <c r="D264" s="28">
        <f t="shared" ref="D264:D270" si="65">B264*C264</f>
        <v>0</v>
      </c>
      <c r="E264" s="29"/>
      <c r="F264" s="63" t="str">
        <f>IFERROR(VLOOKUP(A264,'Insumos '!A:G,7,0),"")</f>
        <v/>
      </c>
      <c r="G264" s="30">
        <f t="shared" ref="G264:G270" si="66">IFERROR(B264*F264, 0)</f>
        <v>0</v>
      </c>
      <c r="H264" s="31">
        <f t="shared" ref="H264:H270" si="67">IFERROR(G264/$G$271, 0)</f>
        <v>0</v>
      </c>
      <c r="I264" s="64" t="str">
        <f>IFERROR(TRIM(VLOOKUP(A264,'Insumos '!$A$2:$E$313,5,0)&amp;""),"")</f>
        <v/>
      </c>
    </row>
    <row r="265" spans="1:9" ht="12.75" x14ac:dyDescent="0.2">
      <c r="A265" s="22"/>
      <c r="B265" s="24">
        <f t="shared" si="64"/>
        <v>0</v>
      </c>
      <c r="C265" s="26">
        <f>IF(I265="Un",0,IFERROR(VLOOKUP(A265,'Mermas por producto'!$A$2:$B$313,2,0),0))</f>
        <v>0</v>
      </c>
      <c r="D265" s="28">
        <f t="shared" si="65"/>
        <v>0</v>
      </c>
      <c r="E265" s="29"/>
      <c r="F265" s="63" t="str">
        <f>IFERROR(VLOOKUP(A265,'Insumos '!A:G,7,0),"")</f>
        <v/>
      </c>
      <c r="G265" s="30">
        <f t="shared" si="66"/>
        <v>0</v>
      </c>
      <c r="H265" s="31">
        <f t="shared" si="67"/>
        <v>0</v>
      </c>
      <c r="I265" s="64" t="str">
        <f>IFERROR(TRIM(VLOOKUP(A265,'Insumos '!$A$2:$E$313,5,0)&amp;""),"")</f>
        <v/>
      </c>
    </row>
    <row r="266" spans="1:9" ht="12.75" x14ac:dyDescent="0.2">
      <c r="A266" s="22"/>
      <c r="B266" s="24">
        <f t="shared" si="64"/>
        <v>0</v>
      </c>
      <c r="C266" s="26">
        <f>IF(I266="Un",0,IFERROR(VLOOKUP(A266,'Mermas por producto'!$A$2:$B$313,2,0),0))</f>
        <v>0</v>
      </c>
      <c r="D266" s="28">
        <f t="shared" si="65"/>
        <v>0</v>
      </c>
      <c r="E266" s="29"/>
      <c r="F266" s="63" t="str">
        <f>IFERROR(VLOOKUP(A266,'Insumos '!A:G,7,0),"")</f>
        <v/>
      </c>
      <c r="G266" s="30">
        <f t="shared" si="66"/>
        <v>0</v>
      </c>
      <c r="H266" s="31">
        <f t="shared" si="67"/>
        <v>0</v>
      </c>
      <c r="I266" s="64" t="str">
        <f>IFERROR(TRIM(VLOOKUP(A266,'Insumos '!$A$2:$E$313,5,0)&amp;""),"")</f>
        <v/>
      </c>
    </row>
    <row r="267" spans="1:9" ht="12.75" x14ac:dyDescent="0.2">
      <c r="A267" s="22"/>
      <c r="B267" s="24">
        <f t="shared" si="64"/>
        <v>0</v>
      </c>
      <c r="C267" s="26">
        <f>IF(I267="Un",0,IFERROR(VLOOKUP(A267,'Mermas por producto'!$A$2:$B$313,2,0),0))</f>
        <v>0</v>
      </c>
      <c r="D267" s="28">
        <f t="shared" si="65"/>
        <v>0</v>
      </c>
      <c r="E267" s="29"/>
      <c r="F267" s="63" t="str">
        <f>IFERROR(VLOOKUP(A267,'Insumos '!$A$2:$G$313,7,0),"")</f>
        <v/>
      </c>
      <c r="G267" s="30">
        <f t="shared" si="66"/>
        <v>0</v>
      </c>
      <c r="H267" s="31">
        <f t="shared" si="67"/>
        <v>0</v>
      </c>
      <c r="I267" s="64" t="str">
        <f>IFERROR(TRIM(VLOOKUP(A267,'Insumos '!$A$2:$E$313,5,0)&amp;""),"")</f>
        <v/>
      </c>
    </row>
    <row r="268" spans="1:9" ht="12.75" x14ac:dyDescent="0.2">
      <c r="A268" s="22"/>
      <c r="B268" s="24">
        <f t="shared" si="64"/>
        <v>0</v>
      </c>
      <c r="C268" s="26">
        <f>IF(I268="Un",0,IFERROR(VLOOKUP(A268,'Mermas por producto'!$A$2:$B$313,2,0),0))</f>
        <v>0</v>
      </c>
      <c r="D268" s="28">
        <f t="shared" si="65"/>
        <v>0</v>
      </c>
      <c r="E268" s="29"/>
      <c r="F268" s="63" t="str">
        <f>IFERROR(VLOOKUP(A268,'Insumos '!A:G,7,0),"")</f>
        <v/>
      </c>
      <c r="G268" s="30">
        <f t="shared" si="66"/>
        <v>0</v>
      </c>
      <c r="H268" s="31">
        <f t="shared" si="67"/>
        <v>0</v>
      </c>
      <c r="I268" s="64" t="str">
        <f>IFERROR(TRIM(VLOOKUP(A268,'Insumos '!$A$2:$E$313,5,0)&amp;""),"")</f>
        <v/>
      </c>
    </row>
    <row r="269" spans="1:9" ht="12.75" x14ac:dyDescent="0.2">
      <c r="A269" s="22"/>
      <c r="B269" s="24">
        <f t="shared" si="64"/>
        <v>0</v>
      </c>
      <c r="C269" s="26">
        <f>IF(I269="Un",0,IFERROR(VLOOKUP(A269,'Mermas por producto'!$A$2:$B$313,2,0),0))</f>
        <v>0</v>
      </c>
      <c r="D269" s="28">
        <f t="shared" si="65"/>
        <v>0</v>
      </c>
      <c r="E269" s="29"/>
      <c r="F269" s="63" t="str">
        <f>IFERROR(VLOOKUP(A269,'Insumos '!$A$2:$G$313,7,0),"")</f>
        <v/>
      </c>
      <c r="G269" s="30">
        <f t="shared" si="66"/>
        <v>0</v>
      </c>
      <c r="H269" s="31">
        <f t="shared" si="67"/>
        <v>0</v>
      </c>
      <c r="I269" s="64" t="str">
        <f>IFERROR(TRIM(VLOOKUP(A269,'Insumos '!$A$2:$E$313,5,0)&amp;""),"")</f>
        <v/>
      </c>
    </row>
    <row r="270" spans="1:9" ht="12.75" x14ac:dyDescent="0.2">
      <c r="A270" s="22"/>
      <c r="B270" s="24">
        <f t="shared" si="64"/>
        <v>0</v>
      </c>
      <c r="C270" s="26">
        <f>IF(I270="Un",0,IFERROR(VLOOKUP(A270,'Mermas por producto'!$A$2:$B$313,2,0),0))</f>
        <v>0</v>
      </c>
      <c r="D270" s="28">
        <f t="shared" si="65"/>
        <v>0</v>
      </c>
      <c r="E270" s="29"/>
      <c r="F270" s="63" t="str">
        <f>IFERROR(VLOOKUP(A270,'Insumos '!A:G,7,0),"")</f>
        <v/>
      </c>
      <c r="G270" s="30">
        <f t="shared" si="66"/>
        <v>0</v>
      </c>
      <c r="H270" s="31">
        <f t="shared" si="67"/>
        <v>0</v>
      </c>
      <c r="I270" s="64" t="str">
        <f>IFERROR(TRIM(VLOOKUP(A270,'Insumos '!$A$2:$E$313,5,0)&amp;""),"")</f>
        <v/>
      </c>
    </row>
    <row r="271" spans="1:9" ht="25.5" x14ac:dyDescent="0.2">
      <c r="A271" s="32" t="s">
        <v>412</v>
      </c>
      <c r="B271" s="33">
        <f>SUMIF(I264:I270,"&lt;&gt;Un",B264:B270)</f>
        <v>0</v>
      </c>
      <c r="C271" s="32" t="s">
        <v>413</v>
      </c>
      <c r="D271" s="34">
        <f>SUMIF(I264:I270,"&lt;&gt;Un",D264:D270)</f>
        <v>0</v>
      </c>
      <c r="E271" s="33">
        <f>SUMIF(I264:I270,"&lt;&gt;Un",E264:E270)</f>
        <v>0</v>
      </c>
      <c r="F271" s="35" t="s">
        <v>414</v>
      </c>
      <c r="G271" s="36">
        <f>SUM(G264:G270)</f>
        <v>0</v>
      </c>
      <c r="H271" s="37">
        <f>SUM(H264:H270)</f>
        <v>0</v>
      </c>
    </row>
    <row r="272" spans="1:9" ht="12.75" x14ac:dyDescent="0.2">
      <c r="F272" s="4" t="s">
        <v>47</v>
      </c>
      <c r="G272" s="65">
        <f>IFERROR(G271/E271, 0)</f>
        <v>0</v>
      </c>
    </row>
    <row r="273" spans="1:9" ht="12.75" x14ac:dyDescent="0.2">
      <c r="F273" s="4" t="s">
        <v>57</v>
      </c>
      <c r="G273" s="38">
        <f>IFERROR(G271/B262, 0)</f>
        <v>0</v>
      </c>
    </row>
    <row r="275" spans="1:9" ht="12.75" x14ac:dyDescent="0.2">
      <c r="A275" s="77" t="s">
        <v>431</v>
      </c>
      <c r="B275" s="68"/>
      <c r="C275" s="68"/>
      <c r="D275" s="68"/>
      <c r="E275" s="68"/>
      <c r="F275" s="68"/>
      <c r="G275" s="68"/>
      <c r="H275" s="69"/>
    </row>
    <row r="276" spans="1:9" ht="12.75" x14ac:dyDescent="0.2">
      <c r="A276" s="45" t="s">
        <v>400</v>
      </c>
      <c r="B276" s="76"/>
      <c r="C276" s="68"/>
      <c r="D276" s="69"/>
      <c r="E276" s="77" t="s">
        <v>401</v>
      </c>
      <c r="F276" s="69"/>
      <c r="G276" s="78">
        <v>0</v>
      </c>
      <c r="H276" s="69"/>
    </row>
    <row r="277" spans="1:9" ht="12.75" x14ac:dyDescent="0.2">
      <c r="A277" s="5" t="s">
        <v>27</v>
      </c>
      <c r="B277" s="79"/>
      <c r="C277" s="80"/>
      <c r="D277" s="81"/>
      <c r="E277" s="77" t="s">
        <v>402</v>
      </c>
      <c r="F277" s="69"/>
      <c r="G277" s="75">
        <f>E287</f>
        <v>0</v>
      </c>
      <c r="H277" s="69"/>
    </row>
    <row r="278" spans="1:9" ht="12.75" x14ac:dyDescent="0.2">
      <c r="A278" s="5" t="s">
        <v>403</v>
      </c>
      <c r="B278" s="76" t="s">
        <v>404</v>
      </c>
      <c r="C278" s="68"/>
      <c r="D278" s="69"/>
      <c r="E278" s="77" t="s">
        <v>35</v>
      </c>
      <c r="F278" s="69"/>
      <c r="G278" s="77">
        <f>IFERROR(G277/B278, 0)</f>
        <v>0</v>
      </c>
      <c r="H278" s="69"/>
    </row>
    <row r="279" spans="1:9" ht="25.5" x14ac:dyDescent="0.2">
      <c r="A279" s="17" t="s">
        <v>405</v>
      </c>
      <c r="B279" s="17" t="s">
        <v>406</v>
      </c>
      <c r="C279" s="17" t="s">
        <v>41</v>
      </c>
      <c r="D279" s="17" t="s">
        <v>407</v>
      </c>
      <c r="E279" s="17" t="s">
        <v>408</v>
      </c>
      <c r="F279" s="17" t="s">
        <v>47</v>
      </c>
      <c r="G279" s="17" t="s">
        <v>409</v>
      </c>
      <c r="H279" s="17" t="s">
        <v>410</v>
      </c>
      <c r="I279" s="17" t="s">
        <v>411</v>
      </c>
    </row>
    <row r="280" spans="1:9" ht="12.75" x14ac:dyDescent="0.2">
      <c r="A280" s="22"/>
      <c r="B280" s="24">
        <f t="shared" ref="B280:B286" si="68">E280/(100%-C280)</f>
        <v>0</v>
      </c>
      <c r="C280" s="26">
        <f>IF(I280="Un",0,IFERROR(VLOOKUP(A280,'Mermas por producto'!$A$2:$B$313,2,0),0))</f>
        <v>0</v>
      </c>
      <c r="D280" s="28">
        <f t="shared" ref="D280:D286" si="69">B280*C280</f>
        <v>0</v>
      </c>
      <c r="E280" s="29"/>
      <c r="F280" s="63" t="str">
        <f>IFERROR(VLOOKUP(A280,'Insumos '!A:G,7,0),"")</f>
        <v/>
      </c>
      <c r="G280" s="30">
        <f t="shared" ref="G280:G286" si="70">IFERROR(B280*F280, 0)</f>
        <v>0</v>
      </c>
      <c r="H280" s="31">
        <f t="shared" ref="H280:H286" si="71">IFERROR(G280/$G$287, 0)</f>
        <v>0</v>
      </c>
      <c r="I280" s="64" t="str">
        <f>IFERROR(TRIM(VLOOKUP(A280,'Insumos '!$A$2:$E$313,5,0)&amp;""),"")</f>
        <v/>
      </c>
    </row>
    <row r="281" spans="1:9" ht="12.75" x14ac:dyDescent="0.2">
      <c r="A281" s="22"/>
      <c r="B281" s="24">
        <f t="shared" si="68"/>
        <v>0</v>
      </c>
      <c r="C281" s="26">
        <f>IF(I281="Un",0,IFERROR(VLOOKUP(A281,'Mermas por producto'!$A$2:$B$313,2,0),0))</f>
        <v>0</v>
      </c>
      <c r="D281" s="28">
        <f t="shared" si="69"/>
        <v>0</v>
      </c>
      <c r="E281" s="29"/>
      <c r="F281" s="63" t="str">
        <f>IFERROR(VLOOKUP(A281,'Insumos '!A:G,7,0),"")</f>
        <v/>
      </c>
      <c r="G281" s="30">
        <f t="shared" si="70"/>
        <v>0</v>
      </c>
      <c r="H281" s="31">
        <f t="shared" si="71"/>
        <v>0</v>
      </c>
      <c r="I281" s="64" t="str">
        <f>IFERROR(TRIM(VLOOKUP(A281,'Insumos '!$A$2:$E$313,5,0)&amp;""),"")</f>
        <v/>
      </c>
    </row>
    <row r="282" spans="1:9" ht="12.75" x14ac:dyDescent="0.2">
      <c r="A282" s="22"/>
      <c r="B282" s="24">
        <f t="shared" si="68"/>
        <v>0</v>
      </c>
      <c r="C282" s="26">
        <f>IF(I282="Un",0,IFERROR(VLOOKUP(A282,'Mermas por producto'!$A$2:$B$313,2,0),0))</f>
        <v>0</v>
      </c>
      <c r="D282" s="28">
        <f t="shared" si="69"/>
        <v>0</v>
      </c>
      <c r="E282" s="29"/>
      <c r="F282" s="63" t="str">
        <f>IFERROR(VLOOKUP(A282,'Insumos '!A:G,7,0),"")</f>
        <v/>
      </c>
      <c r="G282" s="30">
        <f t="shared" si="70"/>
        <v>0</v>
      </c>
      <c r="H282" s="31">
        <f t="shared" si="71"/>
        <v>0</v>
      </c>
      <c r="I282" s="64" t="str">
        <f>IFERROR(TRIM(VLOOKUP(A282,'Insumos '!$A$2:$E$313,5,0)&amp;""),"")</f>
        <v/>
      </c>
    </row>
    <row r="283" spans="1:9" ht="12.75" x14ac:dyDescent="0.2">
      <c r="A283" s="22"/>
      <c r="B283" s="24">
        <f t="shared" si="68"/>
        <v>0</v>
      </c>
      <c r="C283" s="26">
        <f>IF(I283="Un",0,IFERROR(VLOOKUP(A283,'Mermas por producto'!$A$2:$B$313,2,0),0))</f>
        <v>0</v>
      </c>
      <c r="D283" s="28">
        <f t="shared" si="69"/>
        <v>0</v>
      </c>
      <c r="E283" s="29"/>
      <c r="F283" s="63" t="str">
        <f>IFERROR(VLOOKUP(A283,'Insumos '!$A$2:$G$313,7,0),"")</f>
        <v/>
      </c>
      <c r="G283" s="30">
        <f t="shared" si="70"/>
        <v>0</v>
      </c>
      <c r="H283" s="31">
        <f t="shared" si="71"/>
        <v>0</v>
      </c>
      <c r="I283" s="64" t="str">
        <f>IFERROR(TRIM(VLOOKUP(A283,'Insumos '!$A$2:$E$313,5,0)&amp;""),"")</f>
        <v/>
      </c>
    </row>
    <row r="284" spans="1:9" ht="12.75" x14ac:dyDescent="0.2">
      <c r="A284" s="22"/>
      <c r="B284" s="24">
        <f t="shared" si="68"/>
        <v>0</v>
      </c>
      <c r="C284" s="26">
        <f>IF(I284="Un",0,IFERROR(VLOOKUP(A284,'Mermas por producto'!$A$2:$B$313,2,0),0))</f>
        <v>0</v>
      </c>
      <c r="D284" s="28">
        <f t="shared" si="69"/>
        <v>0</v>
      </c>
      <c r="E284" s="29"/>
      <c r="F284" s="63" t="str">
        <f>IFERROR(VLOOKUP(A284,'Insumos '!A:G,7,0),"")</f>
        <v/>
      </c>
      <c r="G284" s="30">
        <f t="shared" si="70"/>
        <v>0</v>
      </c>
      <c r="H284" s="31">
        <f t="shared" si="71"/>
        <v>0</v>
      </c>
      <c r="I284" s="64" t="str">
        <f>IFERROR(TRIM(VLOOKUP(A284,'Insumos '!$A$2:$E$313,5,0)&amp;""),"")</f>
        <v/>
      </c>
    </row>
    <row r="285" spans="1:9" ht="12.75" x14ac:dyDescent="0.2">
      <c r="A285" s="22"/>
      <c r="B285" s="24">
        <f t="shared" si="68"/>
        <v>0</v>
      </c>
      <c r="C285" s="26">
        <f>IF(I285="Un",0,IFERROR(VLOOKUP(A285,'Mermas por producto'!$A$2:$B$313,2,0),0))</f>
        <v>0</v>
      </c>
      <c r="D285" s="28">
        <f t="shared" si="69"/>
        <v>0</v>
      </c>
      <c r="E285" s="29"/>
      <c r="F285" s="63" t="str">
        <f>IFERROR(VLOOKUP(A285,'Insumos '!$A$2:$G$313,7,0),"")</f>
        <v/>
      </c>
      <c r="G285" s="30">
        <f t="shared" si="70"/>
        <v>0</v>
      </c>
      <c r="H285" s="31">
        <f t="shared" si="71"/>
        <v>0</v>
      </c>
      <c r="I285" s="64" t="str">
        <f>IFERROR(TRIM(VLOOKUP(A285,'Insumos '!$A$2:$E$313,5,0)&amp;""),"")</f>
        <v/>
      </c>
    </row>
    <row r="286" spans="1:9" ht="12.75" x14ac:dyDescent="0.2">
      <c r="A286" s="22"/>
      <c r="B286" s="24">
        <f t="shared" si="68"/>
        <v>0</v>
      </c>
      <c r="C286" s="26">
        <f>IF(I286="Un",0,IFERROR(VLOOKUP(A286,'Mermas por producto'!$A$2:$B$313,2,0),0))</f>
        <v>0</v>
      </c>
      <c r="D286" s="28">
        <f t="shared" si="69"/>
        <v>0</v>
      </c>
      <c r="E286" s="29"/>
      <c r="F286" s="63" t="str">
        <f>IFERROR(VLOOKUP(A286,'Insumos '!A:G,7,0),"")</f>
        <v/>
      </c>
      <c r="G286" s="30">
        <f t="shared" si="70"/>
        <v>0</v>
      </c>
      <c r="H286" s="31">
        <f t="shared" si="71"/>
        <v>0</v>
      </c>
      <c r="I286" s="64" t="str">
        <f>IFERROR(TRIM(VLOOKUP(A286,'Insumos '!$A$2:$E$313,5,0)&amp;""),"")</f>
        <v/>
      </c>
    </row>
    <row r="287" spans="1:9" ht="25.5" x14ac:dyDescent="0.2">
      <c r="A287" s="32" t="s">
        <v>412</v>
      </c>
      <c r="B287" s="33">
        <f>SUMIF(I280:I286,"&lt;&gt;Un",B280:B286)</f>
        <v>0</v>
      </c>
      <c r="C287" s="32" t="s">
        <v>413</v>
      </c>
      <c r="D287" s="34">
        <f>SUMIF(I280:I286,"&lt;&gt;Un",D280:D286)</f>
        <v>0</v>
      </c>
      <c r="E287" s="33">
        <f>SUMIF(I280:I286,"&lt;&gt;Un",E280:E286)</f>
        <v>0</v>
      </c>
      <c r="F287" s="35" t="s">
        <v>414</v>
      </c>
      <c r="G287" s="36">
        <f>SUM(G280:G286)</f>
        <v>0</v>
      </c>
      <c r="H287" s="37">
        <f>SUM(H280:H286)</f>
        <v>0</v>
      </c>
    </row>
    <row r="288" spans="1:9" ht="12.75" x14ac:dyDescent="0.2">
      <c r="F288" s="4" t="s">
        <v>47</v>
      </c>
      <c r="G288" s="65">
        <f>IFERROR(G287/E287, 0)</f>
        <v>0</v>
      </c>
    </row>
    <row r="289" spans="1:9" ht="12.75" x14ac:dyDescent="0.2">
      <c r="F289" s="4" t="s">
        <v>57</v>
      </c>
      <c r="G289" s="38">
        <f>IFERROR(G287/B278, 0)</f>
        <v>0</v>
      </c>
    </row>
    <row r="291" spans="1:9" ht="12.75" x14ac:dyDescent="0.2">
      <c r="A291" s="77" t="s">
        <v>432</v>
      </c>
      <c r="B291" s="68"/>
      <c r="C291" s="68"/>
      <c r="D291" s="68"/>
      <c r="E291" s="68"/>
      <c r="F291" s="68"/>
      <c r="G291" s="68"/>
      <c r="H291" s="69"/>
    </row>
    <row r="292" spans="1:9" ht="12.75" x14ac:dyDescent="0.2">
      <c r="A292" s="45" t="s">
        <v>400</v>
      </c>
      <c r="B292" s="76"/>
      <c r="C292" s="68"/>
      <c r="D292" s="69"/>
      <c r="E292" s="77" t="s">
        <v>401</v>
      </c>
      <c r="F292" s="69"/>
      <c r="G292" s="78">
        <v>0</v>
      </c>
      <c r="H292" s="69"/>
    </row>
    <row r="293" spans="1:9" ht="12.75" x14ac:dyDescent="0.2">
      <c r="A293" s="5" t="s">
        <v>27</v>
      </c>
      <c r="B293" s="79"/>
      <c r="C293" s="80"/>
      <c r="D293" s="81"/>
      <c r="E293" s="77" t="s">
        <v>402</v>
      </c>
      <c r="F293" s="69"/>
      <c r="G293" s="75">
        <f>E303</f>
        <v>0</v>
      </c>
      <c r="H293" s="69"/>
    </row>
    <row r="294" spans="1:9" ht="12.75" x14ac:dyDescent="0.2">
      <c r="A294" s="5" t="s">
        <v>403</v>
      </c>
      <c r="B294" s="76" t="s">
        <v>404</v>
      </c>
      <c r="C294" s="68"/>
      <c r="D294" s="69"/>
      <c r="E294" s="77" t="s">
        <v>35</v>
      </c>
      <c r="F294" s="69"/>
      <c r="G294" s="77">
        <f>IFERROR(G293/B294, 0)</f>
        <v>0</v>
      </c>
      <c r="H294" s="69"/>
    </row>
    <row r="295" spans="1:9" ht="25.5" x14ac:dyDescent="0.2">
      <c r="A295" s="17" t="s">
        <v>405</v>
      </c>
      <c r="B295" s="17" t="s">
        <v>406</v>
      </c>
      <c r="C295" s="17" t="s">
        <v>41</v>
      </c>
      <c r="D295" s="17" t="s">
        <v>407</v>
      </c>
      <c r="E295" s="17" t="s">
        <v>408</v>
      </c>
      <c r="F295" s="17" t="s">
        <v>47</v>
      </c>
      <c r="G295" s="17" t="s">
        <v>409</v>
      </c>
      <c r="H295" s="17" t="s">
        <v>410</v>
      </c>
      <c r="I295" s="17" t="s">
        <v>411</v>
      </c>
    </row>
    <row r="296" spans="1:9" ht="12.75" x14ac:dyDescent="0.2">
      <c r="A296" s="22"/>
      <c r="B296" s="24">
        <f t="shared" ref="B296:B302" si="72">E296/(100%-C296)</f>
        <v>0</v>
      </c>
      <c r="C296" s="26">
        <f>IF(I296="Un",0,IFERROR(VLOOKUP(A296,'Mermas por producto'!$A$2:$B$313,2,0),0))</f>
        <v>0</v>
      </c>
      <c r="D296" s="28">
        <f t="shared" ref="D296:D302" si="73">B296*C296</f>
        <v>0</v>
      </c>
      <c r="E296" s="29"/>
      <c r="F296" s="63" t="str">
        <f>IFERROR(VLOOKUP(A296,'Insumos '!A:G,7,0),"")</f>
        <v/>
      </c>
      <c r="G296" s="30">
        <f t="shared" ref="G296:G302" si="74">IFERROR(B296*F296, 0)</f>
        <v>0</v>
      </c>
      <c r="H296" s="31">
        <f t="shared" ref="H296:H302" si="75">IFERROR(G296/$G$303, 0)</f>
        <v>0</v>
      </c>
      <c r="I296" s="64" t="str">
        <f>IFERROR(TRIM(VLOOKUP(A296,'Insumos '!$A$2:$E$313,5,0)&amp;""),"")</f>
        <v/>
      </c>
    </row>
    <row r="297" spans="1:9" ht="12.75" x14ac:dyDescent="0.2">
      <c r="A297" s="22"/>
      <c r="B297" s="24">
        <f t="shared" si="72"/>
        <v>0</v>
      </c>
      <c r="C297" s="26">
        <f>IF(I297="Un",0,IFERROR(VLOOKUP(A297,'Mermas por producto'!$A$2:$B$313,2,0),0))</f>
        <v>0</v>
      </c>
      <c r="D297" s="28">
        <f t="shared" si="73"/>
        <v>0</v>
      </c>
      <c r="E297" s="29"/>
      <c r="F297" s="63" t="str">
        <f>IFERROR(VLOOKUP(A297,'Insumos '!A:G,7,0),"")</f>
        <v/>
      </c>
      <c r="G297" s="30">
        <f t="shared" si="74"/>
        <v>0</v>
      </c>
      <c r="H297" s="31">
        <f t="shared" si="75"/>
        <v>0</v>
      </c>
      <c r="I297" s="64" t="str">
        <f>IFERROR(TRIM(VLOOKUP(A297,'Insumos '!$A$2:$E$313,5,0)&amp;""),"")</f>
        <v/>
      </c>
    </row>
    <row r="298" spans="1:9" ht="12.75" x14ac:dyDescent="0.2">
      <c r="A298" s="22"/>
      <c r="B298" s="24">
        <f t="shared" si="72"/>
        <v>0</v>
      </c>
      <c r="C298" s="26">
        <f>IF(I298="Un",0,IFERROR(VLOOKUP(A298,'Mermas por producto'!$A$2:$B$313,2,0),0))</f>
        <v>0</v>
      </c>
      <c r="D298" s="28">
        <f t="shared" si="73"/>
        <v>0</v>
      </c>
      <c r="E298" s="29"/>
      <c r="F298" s="63" t="str">
        <f>IFERROR(VLOOKUP(A298,'Insumos '!A:G,7,0),"")</f>
        <v/>
      </c>
      <c r="G298" s="30">
        <f t="shared" si="74"/>
        <v>0</v>
      </c>
      <c r="H298" s="31">
        <f t="shared" si="75"/>
        <v>0</v>
      </c>
      <c r="I298" s="64" t="str">
        <f>IFERROR(TRIM(VLOOKUP(A298,'Insumos '!$A$2:$E$313,5,0)&amp;""),"")</f>
        <v/>
      </c>
    </row>
    <row r="299" spans="1:9" ht="12.75" x14ac:dyDescent="0.2">
      <c r="A299" s="22"/>
      <c r="B299" s="24">
        <f t="shared" si="72"/>
        <v>0</v>
      </c>
      <c r="C299" s="26">
        <f>IF(I299="Un",0,IFERROR(VLOOKUP(A299,'Mermas por producto'!$A$2:$B$313,2,0),0))</f>
        <v>0</v>
      </c>
      <c r="D299" s="28">
        <f t="shared" si="73"/>
        <v>0</v>
      </c>
      <c r="E299" s="29"/>
      <c r="F299" s="63" t="str">
        <f>IFERROR(VLOOKUP(A299,'Insumos '!$A$2:$G$313,7,0),"")</f>
        <v/>
      </c>
      <c r="G299" s="30">
        <f t="shared" si="74"/>
        <v>0</v>
      </c>
      <c r="H299" s="31">
        <f t="shared" si="75"/>
        <v>0</v>
      </c>
      <c r="I299" s="64" t="str">
        <f>IFERROR(TRIM(VLOOKUP(A299,'Insumos '!$A$2:$E$313,5,0)&amp;""),"")</f>
        <v/>
      </c>
    </row>
    <row r="300" spans="1:9" ht="12.75" x14ac:dyDescent="0.2">
      <c r="A300" s="22"/>
      <c r="B300" s="24">
        <f t="shared" si="72"/>
        <v>0</v>
      </c>
      <c r="C300" s="26">
        <f>IF(I300="Un",0,IFERROR(VLOOKUP(A300,'Mermas por producto'!$A$2:$B$313,2,0),0))</f>
        <v>0</v>
      </c>
      <c r="D300" s="28">
        <f t="shared" si="73"/>
        <v>0</v>
      </c>
      <c r="E300" s="29"/>
      <c r="F300" s="63" t="str">
        <f>IFERROR(VLOOKUP(A300,'Insumos '!A:G,7,0),"")</f>
        <v/>
      </c>
      <c r="G300" s="30">
        <f t="shared" si="74"/>
        <v>0</v>
      </c>
      <c r="H300" s="31">
        <f t="shared" si="75"/>
        <v>0</v>
      </c>
      <c r="I300" s="64" t="str">
        <f>IFERROR(TRIM(VLOOKUP(A300,'Insumos '!$A$2:$E$313,5,0)&amp;""),"")</f>
        <v/>
      </c>
    </row>
    <row r="301" spans="1:9" ht="12.75" x14ac:dyDescent="0.2">
      <c r="A301" s="22"/>
      <c r="B301" s="24">
        <f t="shared" si="72"/>
        <v>0</v>
      </c>
      <c r="C301" s="26">
        <f>IF(I301="Un",0,IFERROR(VLOOKUP(A301,'Mermas por producto'!$A$2:$B$313,2,0),0))</f>
        <v>0</v>
      </c>
      <c r="D301" s="28">
        <f t="shared" si="73"/>
        <v>0</v>
      </c>
      <c r="E301" s="29"/>
      <c r="F301" s="63" t="str">
        <f>IFERROR(VLOOKUP(A301,'Insumos '!$A$2:$G$313,7,0),"")</f>
        <v/>
      </c>
      <c r="G301" s="30">
        <f t="shared" si="74"/>
        <v>0</v>
      </c>
      <c r="H301" s="31">
        <f t="shared" si="75"/>
        <v>0</v>
      </c>
      <c r="I301" s="64" t="str">
        <f>IFERROR(TRIM(VLOOKUP(A301,'Insumos '!$A$2:$E$313,5,0)&amp;""),"")</f>
        <v/>
      </c>
    </row>
    <row r="302" spans="1:9" ht="12.75" x14ac:dyDescent="0.2">
      <c r="A302" s="22"/>
      <c r="B302" s="24">
        <f t="shared" si="72"/>
        <v>0</v>
      </c>
      <c r="C302" s="26">
        <f>IF(I302="Un",0,IFERROR(VLOOKUP(A302,'Mermas por producto'!$A$2:$B$313,2,0),0))</f>
        <v>0</v>
      </c>
      <c r="D302" s="28">
        <f t="shared" si="73"/>
        <v>0</v>
      </c>
      <c r="E302" s="29"/>
      <c r="F302" s="63" t="str">
        <f>IFERROR(VLOOKUP(A302,'Insumos '!A:G,7,0),"")</f>
        <v/>
      </c>
      <c r="G302" s="30">
        <f t="shared" si="74"/>
        <v>0</v>
      </c>
      <c r="H302" s="31">
        <f t="shared" si="75"/>
        <v>0</v>
      </c>
      <c r="I302" s="64" t="str">
        <f>IFERROR(TRIM(VLOOKUP(A302,'Insumos '!$A$2:$E$313,5,0)&amp;""),"")</f>
        <v/>
      </c>
    </row>
    <row r="303" spans="1:9" ht="25.5" x14ac:dyDescent="0.2">
      <c r="A303" s="32" t="s">
        <v>412</v>
      </c>
      <c r="B303" s="33">
        <f>SUMIF(I296:I302,"&lt;&gt;Un",B296:B302)</f>
        <v>0</v>
      </c>
      <c r="C303" s="32" t="s">
        <v>413</v>
      </c>
      <c r="D303" s="34">
        <f>SUMIF(I296:I302,"&lt;&gt;Un",D296:D302)</f>
        <v>0</v>
      </c>
      <c r="E303" s="33">
        <f>SUMIF(I296:I302,"&lt;&gt;Un",E296:E302)</f>
        <v>0</v>
      </c>
      <c r="F303" s="35" t="s">
        <v>414</v>
      </c>
      <c r="G303" s="36">
        <f>SUM(G296:G302)</f>
        <v>0</v>
      </c>
      <c r="H303" s="37">
        <f>SUM(H296:H302)</f>
        <v>0</v>
      </c>
    </row>
    <row r="304" spans="1:9" ht="12.75" x14ac:dyDescent="0.2">
      <c r="F304" s="4" t="s">
        <v>47</v>
      </c>
      <c r="G304" s="65">
        <f>IFERROR(G303/E303, 0)</f>
        <v>0</v>
      </c>
    </row>
    <row r="305" spans="1:9" ht="12.75" x14ac:dyDescent="0.2">
      <c r="F305" s="4" t="s">
        <v>57</v>
      </c>
      <c r="G305" s="38">
        <f>IFERROR(G303/B294, 0)</f>
        <v>0</v>
      </c>
    </row>
    <row r="307" spans="1:9" ht="12.75" x14ac:dyDescent="0.2">
      <c r="A307" s="77" t="s">
        <v>433</v>
      </c>
      <c r="B307" s="68"/>
      <c r="C307" s="68"/>
      <c r="D307" s="68"/>
      <c r="E307" s="68"/>
      <c r="F307" s="68"/>
      <c r="G307" s="68"/>
      <c r="H307" s="69"/>
    </row>
    <row r="308" spans="1:9" ht="12.75" x14ac:dyDescent="0.2">
      <c r="A308" s="45" t="s">
        <v>400</v>
      </c>
      <c r="B308" s="76"/>
      <c r="C308" s="68"/>
      <c r="D308" s="69"/>
      <c r="E308" s="77" t="s">
        <v>401</v>
      </c>
      <c r="F308" s="69"/>
      <c r="G308" s="78">
        <v>0</v>
      </c>
      <c r="H308" s="69"/>
    </row>
    <row r="309" spans="1:9" ht="12.75" x14ac:dyDescent="0.2">
      <c r="A309" s="5" t="s">
        <v>27</v>
      </c>
      <c r="B309" s="79"/>
      <c r="C309" s="80"/>
      <c r="D309" s="81"/>
      <c r="E309" s="77" t="s">
        <v>402</v>
      </c>
      <c r="F309" s="69"/>
      <c r="G309" s="75">
        <f>E319</f>
        <v>0</v>
      </c>
      <c r="H309" s="69"/>
    </row>
    <row r="310" spans="1:9" ht="12.75" x14ac:dyDescent="0.2">
      <c r="A310" s="5" t="s">
        <v>403</v>
      </c>
      <c r="B310" s="76" t="s">
        <v>404</v>
      </c>
      <c r="C310" s="68"/>
      <c r="D310" s="69"/>
      <c r="E310" s="77" t="s">
        <v>35</v>
      </c>
      <c r="F310" s="69"/>
      <c r="G310" s="77">
        <f>IFERROR(G309/B310, 0)</f>
        <v>0</v>
      </c>
      <c r="H310" s="69"/>
    </row>
    <row r="311" spans="1:9" ht="25.5" x14ac:dyDescent="0.2">
      <c r="A311" s="17" t="s">
        <v>405</v>
      </c>
      <c r="B311" s="17" t="s">
        <v>406</v>
      </c>
      <c r="C311" s="17" t="s">
        <v>41</v>
      </c>
      <c r="D311" s="17" t="s">
        <v>407</v>
      </c>
      <c r="E311" s="17" t="s">
        <v>408</v>
      </c>
      <c r="F311" s="17" t="s">
        <v>47</v>
      </c>
      <c r="G311" s="17" t="s">
        <v>409</v>
      </c>
      <c r="H311" s="17" t="s">
        <v>410</v>
      </c>
      <c r="I311" s="17" t="s">
        <v>411</v>
      </c>
    </row>
    <row r="312" spans="1:9" ht="12.75" x14ac:dyDescent="0.2">
      <c r="A312" s="22"/>
      <c r="B312" s="24">
        <f t="shared" ref="B312:B318" si="76">E312/(100%-C312)</f>
        <v>0</v>
      </c>
      <c r="C312" s="26">
        <f>IF(I312="Un",0,IFERROR(VLOOKUP(A312,'Mermas por producto'!$A$2:$B$313,2,0),0))</f>
        <v>0</v>
      </c>
      <c r="D312" s="28">
        <f t="shared" ref="D312:D318" si="77">B312*C312</f>
        <v>0</v>
      </c>
      <c r="E312" s="29"/>
      <c r="F312" s="63" t="str">
        <f>IFERROR(VLOOKUP(A312,'Insumos '!A:G,7,0),"")</f>
        <v/>
      </c>
      <c r="G312" s="30">
        <f t="shared" ref="G312:G318" si="78">IFERROR(B312*F312, 0)</f>
        <v>0</v>
      </c>
      <c r="H312" s="31">
        <f t="shared" ref="H312:H318" si="79">IFERROR(G312/$G$319, 0)</f>
        <v>0</v>
      </c>
      <c r="I312" s="64" t="str">
        <f>IFERROR(TRIM(VLOOKUP(A312,'Insumos '!$A$2:$E$313,5,0)&amp;""),"")</f>
        <v/>
      </c>
    </row>
    <row r="313" spans="1:9" ht="12.75" x14ac:dyDescent="0.2">
      <c r="A313" s="22"/>
      <c r="B313" s="24">
        <f t="shared" si="76"/>
        <v>0</v>
      </c>
      <c r="C313" s="26">
        <f>IF(I313="Un",0,IFERROR(VLOOKUP(A313,'Mermas por producto'!$A$2:$B$313,2,0),0))</f>
        <v>0</v>
      </c>
      <c r="D313" s="28">
        <f t="shared" si="77"/>
        <v>0</v>
      </c>
      <c r="E313" s="29"/>
      <c r="F313" s="63" t="str">
        <f>IFERROR(VLOOKUP(A313,'Insumos '!A:G,7,0),"")</f>
        <v/>
      </c>
      <c r="G313" s="30">
        <f t="shared" si="78"/>
        <v>0</v>
      </c>
      <c r="H313" s="31">
        <f t="shared" si="79"/>
        <v>0</v>
      </c>
      <c r="I313" s="64" t="str">
        <f>IFERROR(TRIM(VLOOKUP(A313,'Insumos '!$A$2:$E$313,5,0)&amp;""),"")</f>
        <v/>
      </c>
    </row>
    <row r="314" spans="1:9" ht="12.75" x14ac:dyDescent="0.2">
      <c r="A314" s="22"/>
      <c r="B314" s="24">
        <f t="shared" si="76"/>
        <v>0</v>
      </c>
      <c r="C314" s="26">
        <f>IF(I314="Un",0,IFERROR(VLOOKUP(A314,'Mermas por producto'!$A$2:$B$313,2,0),0))</f>
        <v>0</v>
      </c>
      <c r="D314" s="28">
        <f t="shared" si="77"/>
        <v>0</v>
      </c>
      <c r="E314" s="29"/>
      <c r="F314" s="63" t="str">
        <f>IFERROR(VLOOKUP(A314,'Insumos '!A:G,7,0),"")</f>
        <v/>
      </c>
      <c r="G314" s="30">
        <f t="shared" si="78"/>
        <v>0</v>
      </c>
      <c r="H314" s="31">
        <f t="shared" si="79"/>
        <v>0</v>
      </c>
      <c r="I314" s="64" t="str">
        <f>IFERROR(TRIM(VLOOKUP(A314,'Insumos '!$A$2:$E$313,5,0)&amp;""),"")</f>
        <v/>
      </c>
    </row>
    <row r="315" spans="1:9" ht="12.75" x14ac:dyDescent="0.2">
      <c r="A315" s="22"/>
      <c r="B315" s="24">
        <f t="shared" si="76"/>
        <v>0</v>
      </c>
      <c r="C315" s="26">
        <f>IF(I315="Un",0,IFERROR(VLOOKUP(A315,'Mermas por producto'!$A$2:$B$313,2,0),0))</f>
        <v>0</v>
      </c>
      <c r="D315" s="28">
        <f t="shared" si="77"/>
        <v>0</v>
      </c>
      <c r="E315" s="29"/>
      <c r="F315" s="63" t="str">
        <f>IFERROR(VLOOKUP(A315,'Insumos '!$A$2:$G$313,7,0),"")</f>
        <v/>
      </c>
      <c r="G315" s="30">
        <f t="shared" si="78"/>
        <v>0</v>
      </c>
      <c r="H315" s="31">
        <f t="shared" si="79"/>
        <v>0</v>
      </c>
      <c r="I315" s="64" t="str">
        <f>IFERROR(TRIM(VLOOKUP(A315,'Insumos '!$A$2:$E$313,5,0)&amp;""),"")</f>
        <v/>
      </c>
    </row>
    <row r="316" spans="1:9" ht="12.75" x14ac:dyDescent="0.2">
      <c r="A316" s="22"/>
      <c r="B316" s="24">
        <f t="shared" si="76"/>
        <v>0</v>
      </c>
      <c r="C316" s="26">
        <f>IF(I316="Un",0,IFERROR(VLOOKUP(A316,'Mermas por producto'!$A$2:$B$313,2,0),0))</f>
        <v>0</v>
      </c>
      <c r="D316" s="28">
        <f t="shared" si="77"/>
        <v>0</v>
      </c>
      <c r="E316" s="29"/>
      <c r="F316" s="63" t="str">
        <f>IFERROR(VLOOKUP(A316,'Insumos '!A:G,7,0),"")</f>
        <v/>
      </c>
      <c r="G316" s="30">
        <f t="shared" si="78"/>
        <v>0</v>
      </c>
      <c r="H316" s="31">
        <f t="shared" si="79"/>
        <v>0</v>
      </c>
      <c r="I316" s="64" t="str">
        <f>IFERROR(TRIM(VLOOKUP(A316,'Insumos '!$A$2:$E$313,5,0)&amp;""),"")</f>
        <v/>
      </c>
    </row>
    <row r="317" spans="1:9" ht="12.75" x14ac:dyDescent="0.2">
      <c r="A317" s="22"/>
      <c r="B317" s="24">
        <f t="shared" si="76"/>
        <v>0</v>
      </c>
      <c r="C317" s="26">
        <f>IF(I317="Un",0,IFERROR(VLOOKUP(A317,'Mermas por producto'!$A$2:$B$313,2,0),0))</f>
        <v>0</v>
      </c>
      <c r="D317" s="28">
        <f t="shared" si="77"/>
        <v>0</v>
      </c>
      <c r="E317" s="29"/>
      <c r="F317" s="63" t="str">
        <f>IFERROR(VLOOKUP(A317,'Insumos '!$A$2:$G$313,7,0),"")</f>
        <v/>
      </c>
      <c r="G317" s="30">
        <f t="shared" si="78"/>
        <v>0</v>
      </c>
      <c r="H317" s="31">
        <f t="shared" si="79"/>
        <v>0</v>
      </c>
      <c r="I317" s="64" t="str">
        <f>IFERROR(TRIM(VLOOKUP(A317,'Insumos '!$A$2:$E$313,5,0)&amp;""),"")</f>
        <v/>
      </c>
    </row>
    <row r="318" spans="1:9" ht="12.75" x14ac:dyDescent="0.2">
      <c r="A318" s="22"/>
      <c r="B318" s="24">
        <f t="shared" si="76"/>
        <v>0</v>
      </c>
      <c r="C318" s="26">
        <f>IF(I318="Un",0,IFERROR(VLOOKUP(A318,'Mermas por producto'!$A$2:$B$313,2,0),0))</f>
        <v>0</v>
      </c>
      <c r="D318" s="28">
        <f t="shared" si="77"/>
        <v>0</v>
      </c>
      <c r="E318" s="29"/>
      <c r="F318" s="63" t="str">
        <f>IFERROR(VLOOKUP(A318,'Insumos '!A:G,7,0),"")</f>
        <v/>
      </c>
      <c r="G318" s="30">
        <f t="shared" si="78"/>
        <v>0</v>
      </c>
      <c r="H318" s="31">
        <f t="shared" si="79"/>
        <v>0</v>
      </c>
      <c r="I318" s="64" t="str">
        <f>IFERROR(TRIM(VLOOKUP(A318,'Insumos '!$A$2:$E$313,5,0)&amp;""),"")</f>
        <v/>
      </c>
    </row>
    <row r="319" spans="1:9" ht="25.5" x14ac:dyDescent="0.2">
      <c r="A319" s="32" t="s">
        <v>412</v>
      </c>
      <c r="B319" s="33">
        <f>SUMIF(I312:I318,"&lt;&gt;Un",B312:B318)</f>
        <v>0</v>
      </c>
      <c r="C319" s="32" t="s">
        <v>413</v>
      </c>
      <c r="D319" s="34">
        <f>SUMIF(I312:I318,"&lt;&gt;Un",D312:D318)</f>
        <v>0</v>
      </c>
      <c r="E319" s="33">
        <f>SUMIF(I312:I318,"&lt;&gt;Un",E312:E318)</f>
        <v>0</v>
      </c>
      <c r="F319" s="35" t="s">
        <v>414</v>
      </c>
      <c r="G319" s="36">
        <f>SUM(G312:G318)</f>
        <v>0</v>
      </c>
      <c r="H319" s="37">
        <f>SUM(H312:H318)</f>
        <v>0</v>
      </c>
    </row>
    <row r="320" spans="1:9" ht="12.75" x14ac:dyDescent="0.2">
      <c r="F320" s="4" t="s">
        <v>47</v>
      </c>
      <c r="G320" s="65">
        <f>IFERROR(G319/E319, 0)</f>
        <v>0</v>
      </c>
    </row>
    <row r="321" spans="6:7" ht="12.75" x14ac:dyDescent="0.2">
      <c r="F321" s="4" t="s">
        <v>57</v>
      </c>
      <c r="G321" s="38">
        <f>IFERROR(G319/B310, 0)</f>
        <v>0</v>
      </c>
    </row>
  </sheetData>
  <mergeCells count="201">
    <mergeCell ref="E310:F310"/>
    <mergeCell ref="A1:J1"/>
    <mergeCell ref="G310:H310"/>
    <mergeCell ref="G196:H196"/>
    <mergeCell ref="G180:H180"/>
    <mergeCell ref="G5:H5"/>
    <mergeCell ref="B197:D197"/>
    <mergeCell ref="G4:H4"/>
    <mergeCell ref="B261:D261"/>
    <mergeCell ref="B292:D292"/>
    <mergeCell ref="G182:H182"/>
    <mergeCell ref="A147:H147"/>
    <mergeCell ref="B276:D276"/>
    <mergeCell ref="B214:D214"/>
    <mergeCell ref="G150:H150"/>
    <mergeCell ref="E37:F37"/>
    <mergeCell ref="B52:D52"/>
    <mergeCell ref="B294:D294"/>
    <mergeCell ref="A211:H211"/>
    <mergeCell ref="E21:F21"/>
    <mergeCell ref="E309:F309"/>
    <mergeCell ref="G36:H36"/>
    <mergeCell ref="E278:F278"/>
    <mergeCell ref="G278:H278"/>
    <mergeCell ref="E165:F165"/>
    <mergeCell ref="B116:D116"/>
    <mergeCell ref="B69:D69"/>
    <mergeCell ref="B182:D182"/>
    <mergeCell ref="B38:D38"/>
    <mergeCell ref="B196:D196"/>
    <mergeCell ref="E293:F293"/>
    <mergeCell ref="E262:F262"/>
    <mergeCell ref="E180:F180"/>
    <mergeCell ref="G262:H262"/>
    <mergeCell ref="B118:D118"/>
    <mergeCell ref="B246:D246"/>
    <mergeCell ref="G308:H308"/>
    <mergeCell ref="E230:F230"/>
    <mergeCell ref="G53:H53"/>
    <mergeCell ref="E182:F182"/>
    <mergeCell ref="E245:F245"/>
    <mergeCell ref="B309:D309"/>
    <mergeCell ref="E70:F70"/>
    <mergeCell ref="A131:H131"/>
    <mergeCell ref="E228:F228"/>
    <mergeCell ref="A259:H259"/>
    <mergeCell ref="B165:D165"/>
    <mergeCell ref="E54:F54"/>
    <mergeCell ref="A35:H35"/>
    <mergeCell ref="G54:H54"/>
    <mergeCell ref="E134:F134"/>
    <mergeCell ref="E212:F212"/>
    <mergeCell ref="B149:D149"/>
    <mergeCell ref="G134:H134"/>
    <mergeCell ref="A115:H115"/>
    <mergeCell ref="E164:F164"/>
    <mergeCell ref="E292:F292"/>
    <mergeCell ref="G164:H164"/>
    <mergeCell ref="B180:D180"/>
    <mergeCell ref="G212:H212"/>
    <mergeCell ref="E277:F277"/>
    <mergeCell ref="G277:H277"/>
    <mergeCell ref="B117:D117"/>
    <mergeCell ref="B86:D86"/>
    <mergeCell ref="E214:F214"/>
    <mergeCell ref="E6:F6"/>
    <mergeCell ref="E133:F133"/>
    <mergeCell ref="A179:H179"/>
    <mergeCell ref="E86:F86"/>
    <mergeCell ref="G133:H133"/>
    <mergeCell ref="B212:D212"/>
    <mergeCell ref="A195:H195"/>
    <mergeCell ref="B277:D277"/>
    <mergeCell ref="A307:H307"/>
    <mergeCell ref="B22:D22"/>
    <mergeCell ref="A19:H19"/>
    <mergeCell ref="B262:D262"/>
    <mergeCell ref="G276:H276"/>
    <mergeCell ref="G214:H214"/>
    <mergeCell ref="G52:H52"/>
    <mergeCell ref="B101:D101"/>
    <mergeCell ref="B132:D132"/>
    <mergeCell ref="G6:H6"/>
    <mergeCell ref="B310:D310"/>
    <mergeCell ref="A163:H163"/>
    <mergeCell ref="B5:D5"/>
    <mergeCell ref="B36:D36"/>
    <mergeCell ref="B85:D85"/>
    <mergeCell ref="E260:F260"/>
    <mergeCell ref="G260:H260"/>
    <mergeCell ref="G309:H309"/>
    <mergeCell ref="B100:D100"/>
    <mergeCell ref="E197:F197"/>
    <mergeCell ref="G197:H197"/>
    <mergeCell ref="G246:H246"/>
    <mergeCell ref="B150:D150"/>
    <mergeCell ref="B102:D102"/>
    <mergeCell ref="G261:H261"/>
    <mergeCell ref="G230:H230"/>
    <mergeCell ref="B21:D21"/>
    <mergeCell ref="E294:F294"/>
    <mergeCell ref="B244:D244"/>
    <mergeCell ref="B229:D229"/>
    <mergeCell ref="E68:F68"/>
    <mergeCell ref="E213:F213"/>
    <mergeCell ref="B181:D181"/>
    <mergeCell ref="E52:F52"/>
    <mergeCell ref="A291:H291"/>
    <mergeCell ref="E5:F5"/>
    <mergeCell ref="G70:H70"/>
    <mergeCell ref="E4:F4"/>
    <mergeCell ref="B308:D308"/>
    <mergeCell ref="G293:H293"/>
    <mergeCell ref="E38:F38"/>
    <mergeCell ref="G38:H38"/>
    <mergeCell ref="A243:H243"/>
    <mergeCell ref="A99:H99"/>
    <mergeCell ref="B68:D68"/>
    <mergeCell ref="E150:F150"/>
    <mergeCell ref="E132:F132"/>
    <mergeCell ref="G132:H132"/>
    <mergeCell ref="B245:D245"/>
    <mergeCell ref="G166:H166"/>
    <mergeCell ref="E20:F20"/>
    <mergeCell ref="A227:H227"/>
    <mergeCell ref="G101:H101"/>
    <mergeCell ref="G116:H116"/>
    <mergeCell ref="B260:D260"/>
    <mergeCell ref="G37:H37"/>
    <mergeCell ref="E69:F69"/>
    <mergeCell ref="E84:F84"/>
    <mergeCell ref="A3:H3"/>
    <mergeCell ref="G148:H148"/>
    <mergeCell ref="E276:F276"/>
    <mergeCell ref="B198:D198"/>
    <mergeCell ref="B213:D213"/>
    <mergeCell ref="G68:H68"/>
    <mergeCell ref="E166:F166"/>
    <mergeCell ref="B4:D4"/>
    <mergeCell ref="E36:F36"/>
    <mergeCell ref="E101:F101"/>
    <mergeCell ref="E116:F116"/>
    <mergeCell ref="B54:D54"/>
    <mergeCell ref="G20:H20"/>
    <mergeCell ref="B134:D134"/>
    <mergeCell ref="E85:F85"/>
    <mergeCell ref="E100:F100"/>
    <mergeCell ref="E196:F196"/>
    <mergeCell ref="G85:H85"/>
    <mergeCell ref="G100:H100"/>
    <mergeCell ref="G213:H213"/>
    <mergeCell ref="G165:H165"/>
    <mergeCell ref="E246:F246"/>
    <mergeCell ref="B70:D70"/>
    <mergeCell ref="E22:F22"/>
    <mergeCell ref="G292:H292"/>
    <mergeCell ref="B84:D84"/>
    <mergeCell ref="G245:H245"/>
    <mergeCell ref="E308:F308"/>
    <mergeCell ref="E229:F229"/>
    <mergeCell ref="B6:D6"/>
    <mergeCell ref="G229:H229"/>
    <mergeCell ref="B20:D20"/>
    <mergeCell ref="B133:D133"/>
    <mergeCell ref="G294:H294"/>
    <mergeCell ref="E148:F148"/>
    <mergeCell ref="E261:F261"/>
    <mergeCell ref="E53:F53"/>
    <mergeCell ref="E198:F198"/>
    <mergeCell ref="G22:H22"/>
    <mergeCell ref="G84:H84"/>
    <mergeCell ref="B228:D228"/>
    <mergeCell ref="G149:H149"/>
    <mergeCell ref="G198:H198"/>
    <mergeCell ref="E102:F102"/>
    <mergeCell ref="G102:H102"/>
    <mergeCell ref="B293:D293"/>
    <mergeCell ref="A67:H67"/>
    <mergeCell ref="E117:F117"/>
    <mergeCell ref="G21:H21"/>
    <mergeCell ref="B278:D278"/>
    <mergeCell ref="A83:H83"/>
    <mergeCell ref="A275:H275"/>
    <mergeCell ref="G244:H244"/>
    <mergeCell ref="B148:D148"/>
    <mergeCell ref="B53:D53"/>
    <mergeCell ref="B166:D166"/>
    <mergeCell ref="E181:F181"/>
    <mergeCell ref="G228:H228"/>
    <mergeCell ref="G181:H181"/>
    <mergeCell ref="E244:F244"/>
    <mergeCell ref="B37:D37"/>
    <mergeCell ref="B230:D230"/>
    <mergeCell ref="G86:H86"/>
    <mergeCell ref="G117:H117"/>
    <mergeCell ref="A51:H51"/>
    <mergeCell ref="G69:H69"/>
    <mergeCell ref="E118:F118"/>
    <mergeCell ref="E149:F149"/>
    <mergeCell ref="B164:D164"/>
    <mergeCell ref="G118:H118"/>
  </mergeCells>
  <conditionalFormatting sqref="F8:G14">
    <cfRule type="expression" dxfId="19" priority="1">
      <formula>AND($A8&lt;&gt;"",OR($F8="",$F8="-",$F8=0))</formula>
    </cfRule>
  </conditionalFormatting>
  <conditionalFormatting sqref="F24:G30">
    <cfRule type="expression" dxfId="18" priority="2">
      <formula>AND($A24&lt;&gt;"",OR($F24="",$F24="-",$F24=0))</formula>
    </cfRule>
  </conditionalFormatting>
  <conditionalFormatting sqref="F40:G46">
    <cfRule type="expression" dxfId="17" priority="3">
      <formula>AND($A40&lt;&gt;"",OR($F40="",$F40="-",$F40=0))</formula>
    </cfRule>
  </conditionalFormatting>
  <conditionalFormatting sqref="F56:G62">
    <cfRule type="expression" dxfId="16" priority="4">
      <formula>AND($A56&lt;&gt;"",OR($F56="",$F56="-",$F56=0))</formula>
    </cfRule>
  </conditionalFormatting>
  <conditionalFormatting sqref="F72:G78">
    <cfRule type="expression" dxfId="15" priority="5">
      <formula>AND($A72&lt;&gt;"",OR($F72="",$F72="-",$F72=0))</formula>
    </cfRule>
  </conditionalFormatting>
  <conditionalFormatting sqref="F88:G94">
    <cfRule type="expression" dxfId="14" priority="6">
      <formula>AND($A88&lt;&gt;"",OR($F88="",$F88="-",$F88=0))</formula>
    </cfRule>
  </conditionalFormatting>
  <conditionalFormatting sqref="F104:G110">
    <cfRule type="expression" dxfId="13" priority="7">
      <formula>AND($A104&lt;&gt;"",OR($F104="",$F104="-",$F104=0))</formula>
    </cfRule>
  </conditionalFormatting>
  <conditionalFormatting sqref="F120:G126">
    <cfRule type="expression" dxfId="12" priority="8">
      <formula>AND($A120&lt;&gt;"",OR($F120="",$F120="-",$F120=0))</formula>
    </cfRule>
  </conditionalFormatting>
  <conditionalFormatting sqref="F136:G142">
    <cfRule type="expression" dxfId="11" priority="9">
      <formula>AND($A136&lt;&gt;"",OR($F136="",$F136="-",$F136=0))</formula>
    </cfRule>
  </conditionalFormatting>
  <conditionalFormatting sqref="F152:G158">
    <cfRule type="expression" dxfId="10" priority="10">
      <formula>AND($A152&lt;&gt;"",OR($F152="",$F152="-",$F152=0))</formula>
    </cfRule>
  </conditionalFormatting>
  <conditionalFormatting sqref="F168:G174">
    <cfRule type="expression" dxfId="9" priority="11">
      <formula>AND($A168&lt;&gt;"",OR($F168="",$F168="-",$F168=0))</formula>
    </cfRule>
  </conditionalFormatting>
  <conditionalFormatting sqref="F184:G190">
    <cfRule type="expression" dxfId="8" priority="12">
      <formula>AND($A184&lt;&gt;"",OR($F184="",$F184="-",$F184=0))</formula>
    </cfRule>
  </conditionalFormatting>
  <conditionalFormatting sqref="F200:G206">
    <cfRule type="expression" dxfId="7" priority="13">
      <formula>AND($A200&lt;&gt;"",OR($F200="",$F200="-",$F200=0))</formula>
    </cfRule>
  </conditionalFormatting>
  <conditionalFormatting sqref="F216:G222">
    <cfRule type="expression" dxfId="6" priority="14">
      <formula>AND($A216&lt;&gt;"",OR($F216="",$F216="-",$F216=0))</formula>
    </cfRule>
  </conditionalFormatting>
  <conditionalFormatting sqref="F232:G238">
    <cfRule type="expression" dxfId="5" priority="15">
      <formula>AND($A232&lt;&gt;"",OR($F232="",$F232="-",$F232=0))</formula>
    </cfRule>
  </conditionalFormatting>
  <conditionalFormatting sqref="F248:G254">
    <cfRule type="expression" dxfId="4" priority="16">
      <formula>AND($A248&lt;&gt;"",OR($F248="",$F248="-",$F248=0))</formula>
    </cfRule>
  </conditionalFormatting>
  <conditionalFormatting sqref="F264:G270">
    <cfRule type="expression" dxfId="3" priority="17">
      <formula>AND($A264&lt;&gt;"",OR($F264="",$F264="-",$F264=0))</formula>
    </cfRule>
  </conditionalFormatting>
  <conditionalFormatting sqref="F280:G286">
    <cfRule type="expression" dxfId="2" priority="18">
      <formula>AND($A280&lt;&gt;"",OR($F280="",$F280="-",$F280=0))</formula>
    </cfRule>
  </conditionalFormatting>
  <conditionalFormatting sqref="F296:G302">
    <cfRule type="expression" dxfId="1" priority="19">
      <formula>AND($A296&lt;&gt;"",OR($F296="",$F296="-",$F296=0))</formula>
    </cfRule>
  </conditionalFormatting>
  <conditionalFormatting sqref="F312:G318">
    <cfRule type="expression" dxfId="0" priority="20">
      <formula>AND($A312&lt;&gt;"",OR($F312="",$F312="-",$F312=0))</formula>
    </cfRule>
  </conditionalFormatting>
  <dataValidations count="1">
    <dataValidation type="list" allowBlank="1" showErrorMessage="1" sqref="B5 B21 B37 B53 B69 B85 B101 B117 B133 B149 B165 B181 B197 B213 B229 B245 B261 B277 B293 B309" xr:uid="{00000000-0002-0000-0200-000001000000}">
      <formula1>"Entradas,Guarniciones,Principales,Postres,Pasteleria,Bebida"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'Insumos '!$A$2:$A718</xm:f>
          </x14:formula1>
          <xm:sqref>A8:A14 A24:A30 A40:A46 A56:A62 A72:A78 A88:A94 A104:A110 A120:A126 A136:A142 A152:A158 A168:A174 A184:A190 A200:A206 A216:A222 A232:A238 A248:A254 A264:A270 A280:A286 A296:A302 A312:A318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888"/>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2" width="23" customWidth="1"/>
    <col min="3" max="3" width="43.85546875" customWidth="1"/>
    <col min="4" max="4" width="14" customWidth="1"/>
    <col min="5" max="5" width="15.7109375" customWidth="1"/>
    <col min="6" max="6" width="13.42578125" customWidth="1"/>
    <col min="7" max="7" width="20.5703125" customWidth="1"/>
    <col min="8" max="8" width="24.42578125" customWidth="1"/>
    <col min="9" max="9" width="23.85546875" customWidth="1"/>
    <col min="10" max="10" width="22" customWidth="1"/>
    <col min="11" max="11" width="20" customWidth="1"/>
    <col min="12" max="12" width="30" customWidth="1"/>
  </cols>
  <sheetData>
    <row r="1" spans="1:12" ht="22.5" customHeight="1" x14ac:dyDescent="0.2">
      <c r="A1" s="8" t="s">
        <v>434</v>
      </c>
      <c r="B1" s="8" t="s">
        <v>435</v>
      </c>
      <c r="C1" s="8" t="s">
        <v>66</v>
      </c>
      <c r="D1" s="8" t="s">
        <v>68</v>
      </c>
      <c r="E1" s="8" t="s">
        <v>436</v>
      </c>
      <c r="F1" s="8" t="s">
        <v>72</v>
      </c>
      <c r="G1" s="8" t="s">
        <v>437</v>
      </c>
      <c r="H1" s="8" t="s">
        <v>76</v>
      </c>
      <c r="I1" s="8" t="s">
        <v>438</v>
      </c>
      <c r="J1" s="8" t="s">
        <v>439</v>
      </c>
      <c r="K1" s="8" t="s">
        <v>115</v>
      </c>
      <c r="L1" s="66" t="s">
        <v>440</v>
      </c>
    </row>
    <row r="2" spans="1:12" ht="19.5" customHeight="1" x14ac:dyDescent="0.2">
      <c r="A2" s="16" t="str">
        <f>Recetas!A3</f>
        <v xml:space="preserve">Receta Nº 1 </v>
      </c>
      <c r="B2" s="18">
        <f>Recetas!B5</f>
        <v>0</v>
      </c>
      <c r="C2" s="19">
        <f>Recetas!B4</f>
        <v>0</v>
      </c>
      <c r="D2" s="21">
        <f>Recetas!G6</f>
        <v>0</v>
      </c>
      <c r="E2" s="23" t="s">
        <v>441</v>
      </c>
      <c r="F2" s="23">
        <f>Recetas!G17</f>
        <v>0</v>
      </c>
      <c r="G2" s="25">
        <f>Recetas!G4</f>
        <v>0</v>
      </c>
      <c r="H2" s="25">
        <f t="shared" ref="H2:H21" si="0">IFERROR(K2-F2,0)</f>
        <v>0</v>
      </c>
      <c r="I2" s="27">
        <f t="shared" ref="I2:I21" si="1">IFERROR(K2/F2,0)</f>
        <v>0</v>
      </c>
      <c r="J2" s="10"/>
      <c r="K2" s="25">
        <f t="shared" ref="K2:K21" si="2">IF(G2="","",IF($L$2="Responsable inscripto",G2/1.21,G2))</f>
        <v>0</v>
      </c>
      <c r="L2" s="10" t="s">
        <v>107</v>
      </c>
    </row>
    <row r="3" spans="1:12" ht="19.5" customHeight="1" x14ac:dyDescent="0.2">
      <c r="A3" s="16" t="str">
        <f>Recetas!A19</f>
        <v>Receta Nº 2</v>
      </c>
      <c r="B3" s="18">
        <f>Recetas!B21</f>
        <v>0</v>
      </c>
      <c r="C3" s="19">
        <f>Recetas!B20</f>
        <v>0</v>
      </c>
      <c r="D3" s="21">
        <f>Recetas!G22</f>
        <v>0</v>
      </c>
      <c r="E3" s="23" t="s">
        <v>441</v>
      </c>
      <c r="F3" s="23">
        <f>Recetas!G33</f>
        <v>0</v>
      </c>
      <c r="G3" s="25">
        <f>Recetas!G20</f>
        <v>0</v>
      </c>
      <c r="H3" s="25">
        <f t="shared" si="0"/>
        <v>0</v>
      </c>
      <c r="I3" s="27">
        <f t="shared" si="1"/>
        <v>0</v>
      </c>
      <c r="J3" s="10"/>
      <c r="K3" s="25">
        <f t="shared" si="2"/>
        <v>0</v>
      </c>
    </row>
    <row r="4" spans="1:12" ht="19.5" customHeight="1" x14ac:dyDescent="0.2">
      <c r="A4" s="16" t="str">
        <f>Recetas!A35</f>
        <v>Receta Nº 3</v>
      </c>
      <c r="B4" s="18">
        <f>Recetas!B37</f>
        <v>0</v>
      </c>
      <c r="C4" s="19">
        <f>Recetas!B36</f>
        <v>0</v>
      </c>
      <c r="D4" s="21">
        <f>Recetas!G38</f>
        <v>0</v>
      </c>
      <c r="E4" s="23" t="s">
        <v>441</v>
      </c>
      <c r="F4" s="23">
        <f>Recetas!G49</f>
        <v>0</v>
      </c>
      <c r="G4" s="25">
        <f>Recetas!G36</f>
        <v>0</v>
      </c>
      <c r="H4" s="25">
        <f t="shared" si="0"/>
        <v>0</v>
      </c>
      <c r="I4" s="27">
        <f t="shared" si="1"/>
        <v>0</v>
      </c>
      <c r="J4" s="10"/>
      <c r="K4" s="25">
        <f t="shared" si="2"/>
        <v>0</v>
      </c>
    </row>
    <row r="5" spans="1:12" ht="19.5" customHeight="1" x14ac:dyDescent="0.2">
      <c r="A5" s="16" t="str">
        <f>Recetas!A51</f>
        <v>Receta Nº 4</v>
      </c>
      <c r="B5" s="18">
        <f>Recetas!B53</f>
        <v>0</v>
      </c>
      <c r="C5" s="19">
        <f>Recetas!B52</f>
        <v>0</v>
      </c>
      <c r="D5" s="21">
        <f>Recetas!G54</f>
        <v>0</v>
      </c>
      <c r="E5" s="23" t="s">
        <v>441</v>
      </c>
      <c r="F5" s="23">
        <f>Recetas!G65</f>
        <v>0</v>
      </c>
      <c r="G5" s="25">
        <f>Recetas!G52</f>
        <v>0</v>
      </c>
      <c r="H5" s="25">
        <f t="shared" si="0"/>
        <v>0</v>
      </c>
      <c r="I5" s="27">
        <f t="shared" si="1"/>
        <v>0</v>
      </c>
      <c r="J5" s="10"/>
      <c r="K5" s="25">
        <f t="shared" si="2"/>
        <v>0</v>
      </c>
    </row>
    <row r="6" spans="1:12" ht="19.5" customHeight="1" x14ac:dyDescent="0.2">
      <c r="A6" s="16" t="str">
        <f>Recetas!A67</f>
        <v>Receta Nº 5</v>
      </c>
      <c r="B6" s="18">
        <f>Recetas!B69</f>
        <v>0</v>
      </c>
      <c r="C6" s="19">
        <f>Recetas!B68</f>
        <v>0</v>
      </c>
      <c r="D6" s="21">
        <f>Recetas!G70</f>
        <v>0</v>
      </c>
      <c r="E6" s="23" t="s">
        <v>441</v>
      </c>
      <c r="F6" s="23">
        <f>Recetas!G81</f>
        <v>0</v>
      </c>
      <c r="G6" s="25">
        <f>Recetas!G68</f>
        <v>0</v>
      </c>
      <c r="H6" s="25">
        <f t="shared" si="0"/>
        <v>0</v>
      </c>
      <c r="I6" s="27">
        <f t="shared" si="1"/>
        <v>0</v>
      </c>
      <c r="J6" s="10"/>
      <c r="K6" s="25">
        <f t="shared" si="2"/>
        <v>0</v>
      </c>
    </row>
    <row r="7" spans="1:12" ht="19.5" customHeight="1" x14ac:dyDescent="0.2">
      <c r="A7" s="16" t="str">
        <f>Recetas!A83</f>
        <v>Receta Nº 6</v>
      </c>
      <c r="B7" s="18">
        <f>Recetas!B85</f>
        <v>0</v>
      </c>
      <c r="C7" s="19">
        <f>Recetas!B84</f>
        <v>0</v>
      </c>
      <c r="D7" s="21">
        <f>Recetas!G86</f>
        <v>0</v>
      </c>
      <c r="E7" s="23" t="s">
        <v>441</v>
      </c>
      <c r="F7" s="23">
        <f>Recetas!G97</f>
        <v>0</v>
      </c>
      <c r="G7" s="25">
        <f>Recetas!G84</f>
        <v>0</v>
      </c>
      <c r="H7" s="25">
        <f t="shared" si="0"/>
        <v>0</v>
      </c>
      <c r="I7" s="27">
        <f t="shared" si="1"/>
        <v>0</v>
      </c>
      <c r="J7" s="10"/>
      <c r="K7" s="25">
        <f t="shared" si="2"/>
        <v>0</v>
      </c>
    </row>
    <row r="8" spans="1:12" ht="19.5" customHeight="1" x14ac:dyDescent="0.2">
      <c r="A8" s="16" t="str">
        <f>Recetas!A99</f>
        <v>Receta Nº 7</v>
      </c>
      <c r="B8" s="18">
        <f>Recetas!B101</f>
        <v>0</v>
      </c>
      <c r="C8" s="19">
        <f>Recetas!B100</f>
        <v>0</v>
      </c>
      <c r="D8" s="21">
        <f>Recetas!G102</f>
        <v>0</v>
      </c>
      <c r="E8" s="23" t="s">
        <v>441</v>
      </c>
      <c r="F8" s="23">
        <f>Recetas!G113</f>
        <v>0</v>
      </c>
      <c r="G8" s="25">
        <f>Recetas!G100</f>
        <v>0</v>
      </c>
      <c r="H8" s="25">
        <f t="shared" si="0"/>
        <v>0</v>
      </c>
      <c r="I8" s="27">
        <f t="shared" si="1"/>
        <v>0</v>
      </c>
      <c r="J8" s="10"/>
      <c r="K8" s="25">
        <f t="shared" si="2"/>
        <v>0</v>
      </c>
    </row>
    <row r="9" spans="1:12" ht="19.5" customHeight="1" x14ac:dyDescent="0.2">
      <c r="A9" s="16" t="str">
        <f>Recetas!A115</f>
        <v>Receta Nº 8</v>
      </c>
      <c r="B9" s="18">
        <f>Recetas!B117</f>
        <v>0</v>
      </c>
      <c r="C9" s="19">
        <f>Recetas!B116</f>
        <v>0</v>
      </c>
      <c r="D9" s="21">
        <f>Recetas!G118</f>
        <v>0</v>
      </c>
      <c r="E9" s="23" t="s">
        <v>441</v>
      </c>
      <c r="F9" s="23">
        <f>Recetas!G129</f>
        <v>0</v>
      </c>
      <c r="G9" s="25">
        <f>Recetas!G116</f>
        <v>0</v>
      </c>
      <c r="H9" s="25">
        <f t="shared" si="0"/>
        <v>0</v>
      </c>
      <c r="I9" s="27">
        <f t="shared" si="1"/>
        <v>0</v>
      </c>
      <c r="J9" s="10"/>
      <c r="K9" s="25">
        <f t="shared" si="2"/>
        <v>0</v>
      </c>
    </row>
    <row r="10" spans="1:12" ht="19.5" customHeight="1" x14ac:dyDescent="0.2">
      <c r="A10" s="16" t="str">
        <f>Recetas!A131</f>
        <v>Receta Nº 9</v>
      </c>
      <c r="B10" s="18">
        <f>Recetas!B133</f>
        <v>0</v>
      </c>
      <c r="C10" s="19">
        <f>Recetas!B132</f>
        <v>0</v>
      </c>
      <c r="D10" s="21">
        <f>Recetas!G134</f>
        <v>0</v>
      </c>
      <c r="E10" s="23" t="s">
        <v>441</v>
      </c>
      <c r="F10" s="23">
        <f>Recetas!G145</f>
        <v>0</v>
      </c>
      <c r="G10" s="25">
        <f>Recetas!G132</f>
        <v>0</v>
      </c>
      <c r="H10" s="25">
        <f t="shared" si="0"/>
        <v>0</v>
      </c>
      <c r="I10" s="27">
        <f t="shared" si="1"/>
        <v>0</v>
      </c>
      <c r="J10" s="10"/>
      <c r="K10" s="25">
        <f t="shared" si="2"/>
        <v>0</v>
      </c>
    </row>
    <row r="11" spans="1:12" ht="19.5" customHeight="1" x14ac:dyDescent="0.2">
      <c r="A11" s="16" t="str">
        <f>Recetas!A147</f>
        <v>Receta Nº 10</v>
      </c>
      <c r="B11" s="18">
        <f>Recetas!B149</f>
        <v>0</v>
      </c>
      <c r="C11" s="19">
        <f>Recetas!B148</f>
        <v>0</v>
      </c>
      <c r="D11" s="21">
        <f>Recetas!G150</f>
        <v>0</v>
      </c>
      <c r="E11" s="23" t="s">
        <v>441</v>
      </c>
      <c r="F11" s="23">
        <f>Recetas!G161</f>
        <v>0</v>
      </c>
      <c r="G11" s="25">
        <f>Recetas!G148</f>
        <v>0</v>
      </c>
      <c r="H11" s="25">
        <f t="shared" si="0"/>
        <v>0</v>
      </c>
      <c r="I11" s="27">
        <f t="shared" si="1"/>
        <v>0</v>
      </c>
      <c r="J11" s="10"/>
      <c r="K11" s="25">
        <f t="shared" si="2"/>
        <v>0</v>
      </c>
    </row>
    <row r="12" spans="1:12" ht="19.5" customHeight="1" x14ac:dyDescent="0.2">
      <c r="A12" s="16" t="str">
        <f>Recetas!A163</f>
        <v>Receta Nº 11</v>
      </c>
      <c r="B12" s="18">
        <f>Recetas!B165</f>
        <v>0</v>
      </c>
      <c r="C12" s="19">
        <f>Recetas!B164</f>
        <v>0</v>
      </c>
      <c r="D12" s="21">
        <f>Recetas!G166</f>
        <v>0</v>
      </c>
      <c r="E12" s="23" t="s">
        <v>441</v>
      </c>
      <c r="F12" s="23">
        <f>Recetas!G177</f>
        <v>0</v>
      </c>
      <c r="G12" s="25">
        <f>Recetas!G164</f>
        <v>0</v>
      </c>
      <c r="H12" s="25">
        <f t="shared" si="0"/>
        <v>0</v>
      </c>
      <c r="I12" s="27">
        <f t="shared" si="1"/>
        <v>0</v>
      </c>
      <c r="J12" s="10"/>
      <c r="K12" s="25">
        <f t="shared" si="2"/>
        <v>0</v>
      </c>
    </row>
    <row r="13" spans="1:12" ht="19.5" customHeight="1" x14ac:dyDescent="0.2">
      <c r="A13" s="16" t="str">
        <f>Recetas!A179</f>
        <v>Receta Nº 12</v>
      </c>
      <c r="B13" s="18">
        <f>Recetas!B181</f>
        <v>0</v>
      </c>
      <c r="C13" s="19">
        <f>Recetas!B180</f>
        <v>0</v>
      </c>
      <c r="D13" s="21">
        <f>Recetas!G182</f>
        <v>0</v>
      </c>
      <c r="E13" s="23" t="s">
        <v>441</v>
      </c>
      <c r="F13" s="23">
        <f>Recetas!G193</f>
        <v>0</v>
      </c>
      <c r="G13" s="25">
        <f>Recetas!G180</f>
        <v>0</v>
      </c>
      <c r="H13" s="25">
        <f t="shared" si="0"/>
        <v>0</v>
      </c>
      <c r="I13" s="27">
        <f t="shared" si="1"/>
        <v>0</v>
      </c>
      <c r="J13" s="10"/>
      <c r="K13" s="25">
        <f t="shared" si="2"/>
        <v>0</v>
      </c>
    </row>
    <row r="14" spans="1:12" ht="19.5" customHeight="1" x14ac:dyDescent="0.2">
      <c r="A14" s="16" t="str">
        <f>Recetas!A195</f>
        <v>Receta Nº 13</v>
      </c>
      <c r="B14" s="18">
        <f>Recetas!B197</f>
        <v>0</v>
      </c>
      <c r="C14" s="19">
        <f>Recetas!B196</f>
        <v>0</v>
      </c>
      <c r="D14" s="21">
        <f>Recetas!G198</f>
        <v>0</v>
      </c>
      <c r="E14" s="23" t="s">
        <v>441</v>
      </c>
      <c r="F14" s="23">
        <f>Recetas!G209</f>
        <v>0</v>
      </c>
      <c r="G14" s="25">
        <f>Recetas!G196</f>
        <v>0</v>
      </c>
      <c r="H14" s="25">
        <f t="shared" si="0"/>
        <v>0</v>
      </c>
      <c r="I14" s="27">
        <f t="shared" si="1"/>
        <v>0</v>
      </c>
      <c r="J14" s="10"/>
      <c r="K14" s="25">
        <f t="shared" si="2"/>
        <v>0</v>
      </c>
    </row>
    <row r="15" spans="1:12" ht="19.5" customHeight="1" x14ac:dyDescent="0.2">
      <c r="A15" s="16" t="str">
        <f>Recetas!A211</f>
        <v>Receta Nº 14</v>
      </c>
      <c r="B15" s="18">
        <f>Recetas!B213</f>
        <v>0</v>
      </c>
      <c r="C15" s="19">
        <f>Recetas!B212</f>
        <v>0</v>
      </c>
      <c r="D15" s="21">
        <f>Recetas!G214</f>
        <v>0</v>
      </c>
      <c r="E15" s="23" t="s">
        <v>441</v>
      </c>
      <c r="F15" s="23">
        <f>Recetas!G225</f>
        <v>0</v>
      </c>
      <c r="G15" s="25">
        <f>Recetas!G212</f>
        <v>0</v>
      </c>
      <c r="H15" s="25">
        <f t="shared" si="0"/>
        <v>0</v>
      </c>
      <c r="I15" s="27">
        <f t="shared" si="1"/>
        <v>0</v>
      </c>
      <c r="J15" s="10"/>
      <c r="K15" s="25">
        <f t="shared" si="2"/>
        <v>0</v>
      </c>
    </row>
    <row r="16" spans="1:12" ht="19.5" customHeight="1" x14ac:dyDescent="0.2">
      <c r="A16" s="16" t="str">
        <f>Recetas!A227</f>
        <v>Receta Nº 15</v>
      </c>
      <c r="B16" s="18">
        <f>Recetas!B229</f>
        <v>0</v>
      </c>
      <c r="C16" s="19">
        <f>Recetas!B228</f>
        <v>0</v>
      </c>
      <c r="D16" s="21">
        <f>Recetas!G230</f>
        <v>0</v>
      </c>
      <c r="E16" s="23" t="s">
        <v>441</v>
      </c>
      <c r="F16" s="23">
        <f>Recetas!G241</f>
        <v>0</v>
      </c>
      <c r="G16" s="25">
        <f>Recetas!G228</f>
        <v>0</v>
      </c>
      <c r="H16" s="25">
        <f t="shared" si="0"/>
        <v>0</v>
      </c>
      <c r="I16" s="27">
        <f t="shared" si="1"/>
        <v>0</v>
      </c>
      <c r="J16" s="10"/>
      <c r="K16" s="25">
        <f t="shared" si="2"/>
        <v>0</v>
      </c>
    </row>
    <row r="17" spans="1:11" ht="19.5" customHeight="1" x14ac:dyDescent="0.2">
      <c r="A17" s="16" t="str">
        <f>Recetas!A243</f>
        <v>Receta Nº 16</v>
      </c>
      <c r="B17" s="18">
        <f>Recetas!B245</f>
        <v>0</v>
      </c>
      <c r="C17" s="19">
        <f>Recetas!B244</f>
        <v>0</v>
      </c>
      <c r="D17" s="21">
        <f>Recetas!G246</f>
        <v>0</v>
      </c>
      <c r="E17" s="23" t="s">
        <v>441</v>
      </c>
      <c r="F17" s="23">
        <f>Recetas!G257</f>
        <v>0</v>
      </c>
      <c r="G17" s="25">
        <f>Recetas!G244</f>
        <v>0</v>
      </c>
      <c r="H17" s="25">
        <f t="shared" si="0"/>
        <v>0</v>
      </c>
      <c r="I17" s="27">
        <f t="shared" si="1"/>
        <v>0</v>
      </c>
      <c r="J17" s="10"/>
      <c r="K17" s="25">
        <f t="shared" si="2"/>
        <v>0</v>
      </c>
    </row>
    <row r="18" spans="1:11" ht="19.5" customHeight="1" x14ac:dyDescent="0.2">
      <c r="A18" s="16" t="str">
        <f>Recetas!A259</f>
        <v>Receta Nº 17</v>
      </c>
      <c r="B18" s="18">
        <f>Recetas!B261</f>
        <v>0</v>
      </c>
      <c r="C18" s="19">
        <f>Recetas!B260</f>
        <v>0</v>
      </c>
      <c r="D18" s="21">
        <f>Recetas!G262</f>
        <v>0</v>
      </c>
      <c r="E18" s="23" t="s">
        <v>441</v>
      </c>
      <c r="F18" s="23">
        <f>Recetas!G273</f>
        <v>0</v>
      </c>
      <c r="G18" s="25">
        <f>Recetas!G260</f>
        <v>0</v>
      </c>
      <c r="H18" s="25">
        <f t="shared" si="0"/>
        <v>0</v>
      </c>
      <c r="I18" s="27">
        <f t="shared" si="1"/>
        <v>0</v>
      </c>
      <c r="J18" s="10"/>
      <c r="K18" s="25">
        <f t="shared" si="2"/>
        <v>0</v>
      </c>
    </row>
    <row r="19" spans="1:11" ht="19.5" customHeight="1" x14ac:dyDescent="0.2">
      <c r="A19" s="16" t="str">
        <f>Recetas!A275</f>
        <v>Receta Nº 18</v>
      </c>
      <c r="B19" s="18">
        <f>Recetas!B277</f>
        <v>0</v>
      </c>
      <c r="C19" s="19">
        <f>Recetas!B276</f>
        <v>0</v>
      </c>
      <c r="D19" s="21">
        <f>Recetas!G278</f>
        <v>0</v>
      </c>
      <c r="E19" s="23" t="s">
        <v>441</v>
      </c>
      <c r="F19" s="23">
        <f>Recetas!G289</f>
        <v>0</v>
      </c>
      <c r="G19" s="25">
        <f>Recetas!G276</f>
        <v>0</v>
      </c>
      <c r="H19" s="25">
        <f t="shared" si="0"/>
        <v>0</v>
      </c>
      <c r="I19" s="27">
        <f t="shared" si="1"/>
        <v>0</v>
      </c>
      <c r="J19" s="10"/>
      <c r="K19" s="25">
        <f t="shared" si="2"/>
        <v>0</v>
      </c>
    </row>
    <row r="20" spans="1:11" ht="19.5" customHeight="1" x14ac:dyDescent="0.2">
      <c r="A20" s="16" t="str">
        <f>Recetas!A291</f>
        <v>Receta Nº 19</v>
      </c>
      <c r="B20" s="18">
        <f>Recetas!B293</f>
        <v>0</v>
      </c>
      <c r="C20" s="19">
        <f>Recetas!B292</f>
        <v>0</v>
      </c>
      <c r="D20" s="21">
        <f>Recetas!G294</f>
        <v>0</v>
      </c>
      <c r="E20" s="23" t="s">
        <v>441</v>
      </c>
      <c r="F20" s="23">
        <f>Recetas!G305</f>
        <v>0</v>
      </c>
      <c r="G20" s="25">
        <f>Recetas!G292</f>
        <v>0</v>
      </c>
      <c r="H20" s="25">
        <f t="shared" si="0"/>
        <v>0</v>
      </c>
      <c r="I20" s="27">
        <f t="shared" si="1"/>
        <v>0</v>
      </c>
      <c r="J20" s="10"/>
      <c r="K20" s="25">
        <f t="shared" si="2"/>
        <v>0</v>
      </c>
    </row>
    <row r="21" spans="1:11" ht="19.5" customHeight="1" x14ac:dyDescent="0.2">
      <c r="A21" s="16" t="str">
        <f>Recetas!A307</f>
        <v>Receta Nº 20</v>
      </c>
      <c r="B21" s="18">
        <f>Recetas!B309</f>
        <v>0</v>
      </c>
      <c r="C21" s="19">
        <f>Recetas!B308</f>
        <v>0</v>
      </c>
      <c r="D21" s="21">
        <f>Recetas!G310</f>
        <v>0</v>
      </c>
      <c r="E21" s="23" t="s">
        <v>441</v>
      </c>
      <c r="F21" s="23">
        <f>Recetas!G321</f>
        <v>0</v>
      </c>
      <c r="G21" s="25">
        <f>Recetas!G308</f>
        <v>0</v>
      </c>
      <c r="H21" s="25">
        <f t="shared" si="0"/>
        <v>0</v>
      </c>
      <c r="I21" s="27">
        <f t="shared" si="1"/>
        <v>0</v>
      </c>
      <c r="J21" s="10"/>
      <c r="K21" s="25">
        <f t="shared" si="2"/>
        <v>0</v>
      </c>
    </row>
    <row r="22" spans="1:11" ht="19.5" customHeight="1" x14ac:dyDescent="0.2"/>
    <row r="23" spans="1:11" ht="19.5" customHeight="1" x14ac:dyDescent="0.2"/>
    <row r="24" spans="1:11" ht="19.5" customHeight="1" x14ac:dyDescent="0.2"/>
    <row r="25" spans="1:11" ht="19.5" customHeight="1" x14ac:dyDescent="0.2"/>
    <row r="26" spans="1:11" ht="19.5" customHeight="1" x14ac:dyDescent="0.2"/>
    <row r="27" spans="1:11" ht="19.5" customHeight="1" x14ac:dyDescent="0.2"/>
    <row r="28" spans="1:11" ht="19.5" customHeight="1" x14ac:dyDescent="0.2"/>
    <row r="29" spans="1:11" ht="19.5" customHeight="1" x14ac:dyDescent="0.2"/>
    <row r="30" spans="1:11" ht="19.5" customHeight="1" x14ac:dyDescent="0.2"/>
    <row r="31" spans="1:11" ht="19.5" customHeight="1" x14ac:dyDescent="0.2"/>
    <row r="32" spans="1:11" ht="19.5" customHeight="1" x14ac:dyDescent="0.2"/>
    <row r="33" ht="19.5" customHeight="1" x14ac:dyDescent="0.2"/>
    <row r="34" ht="19.5" customHeight="1" x14ac:dyDescent="0.2"/>
    <row r="35" ht="19.5" customHeight="1" x14ac:dyDescent="0.2"/>
    <row r="36" ht="19.5" customHeight="1" x14ac:dyDescent="0.2"/>
    <row r="37" ht="19.5" customHeight="1" x14ac:dyDescent="0.2"/>
    <row r="38" ht="19.5" customHeight="1" x14ac:dyDescent="0.2"/>
    <row r="39" ht="19.5" customHeight="1" x14ac:dyDescent="0.2"/>
    <row r="40" ht="19.5" customHeight="1" x14ac:dyDescent="0.2"/>
    <row r="41" ht="19.5" customHeight="1" x14ac:dyDescent="0.2"/>
    <row r="42" ht="19.5" customHeight="1" x14ac:dyDescent="0.2"/>
    <row r="43" ht="19.5" customHeight="1" x14ac:dyDescent="0.2"/>
    <row r="44" ht="19.5" customHeight="1" x14ac:dyDescent="0.2"/>
    <row r="45" ht="19.5" customHeight="1" x14ac:dyDescent="0.2"/>
    <row r="46" ht="19.5" customHeight="1" x14ac:dyDescent="0.2"/>
    <row r="47" ht="19.5" customHeight="1" x14ac:dyDescent="0.2"/>
    <row r="48" ht="19.5" customHeight="1" x14ac:dyDescent="0.2"/>
    <row r="49" ht="19.5" customHeight="1" x14ac:dyDescent="0.2"/>
    <row r="50" ht="19.5" customHeight="1" x14ac:dyDescent="0.2"/>
    <row r="51" ht="19.5" customHeight="1" x14ac:dyDescent="0.2"/>
    <row r="52" ht="19.5" customHeight="1" x14ac:dyDescent="0.2"/>
    <row r="53" ht="19.5" customHeight="1" x14ac:dyDescent="0.2"/>
    <row r="54" ht="19.5" customHeight="1" x14ac:dyDescent="0.2"/>
    <row r="55" ht="19.5" customHeight="1" x14ac:dyDescent="0.2"/>
    <row r="56" ht="19.5" customHeight="1" x14ac:dyDescent="0.2"/>
    <row r="888" spans="10:10" ht="12.75" x14ac:dyDescent="0.2">
      <c r="J888" s="10"/>
    </row>
  </sheetData>
  <dataValidations count="2">
    <dataValidation type="list" allowBlank="1" showErrorMessage="1" sqref="J2:J21" xr:uid="{00000000-0002-0000-0300-000000000000}">
      <formula1>"Activo,No activo"</formula1>
    </dataValidation>
    <dataValidation type="list" showErrorMessage="1" errorTitle="Condición fiscal" error="Elegí Responsable inscripto o Monotributista de la lista." sqref="L2" xr:uid="{00000000-0002-0000-0300-000001000000}">
      <formula1>"Responsable inscripto,Monotributista"</formula1>
    </dataValidation>
  </dataValidations>
  <pageMargins left="0.75" right="0.75" top="1" bottom="1" header="0.5" footer="0.5"/>
  <legacyDrawing r:id="rId1"/>
  <tableParts count="6">
    <tablePart r:id="rId2"/>
    <tablePart r:id="rId3"/>
    <tablePart r:id="rId4"/>
    <tablePart r:id="rId5"/>
    <tablePart r:id="rId6"/>
    <tablePart r:id="rId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313"/>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1" width="30.42578125" customWidth="1"/>
  </cols>
  <sheetData>
    <row r="1" spans="1:2" ht="15.75" customHeight="1" x14ac:dyDescent="0.25">
      <c r="A1" s="39" t="s">
        <v>405</v>
      </c>
      <c r="B1" s="40" t="s">
        <v>442</v>
      </c>
    </row>
    <row r="2" spans="1:2" x14ac:dyDescent="0.2">
      <c r="A2" s="41" t="s">
        <v>122</v>
      </c>
      <c r="B2" s="42">
        <v>0</v>
      </c>
    </row>
    <row r="3" spans="1:2" x14ac:dyDescent="0.2">
      <c r="A3" s="43" t="s">
        <v>123</v>
      </c>
      <c r="B3" s="44">
        <v>0</v>
      </c>
    </row>
    <row r="4" spans="1:2" x14ac:dyDescent="0.2">
      <c r="A4" s="43" t="s">
        <v>124</v>
      </c>
      <c r="B4" s="44">
        <v>0</v>
      </c>
    </row>
    <row r="5" spans="1:2" x14ac:dyDescent="0.2">
      <c r="A5" s="43" t="s">
        <v>125</v>
      </c>
      <c r="B5" s="44">
        <v>0.05</v>
      </c>
    </row>
    <row r="6" spans="1:2" x14ac:dyDescent="0.2">
      <c r="A6" s="43" t="s">
        <v>126</v>
      </c>
      <c r="B6" s="44">
        <v>0.25</v>
      </c>
    </row>
    <row r="7" spans="1:2" x14ac:dyDescent="0.2">
      <c r="A7" s="43" t="s">
        <v>127</v>
      </c>
      <c r="B7" s="44">
        <v>0.4</v>
      </c>
    </row>
    <row r="8" spans="1:2" x14ac:dyDescent="0.2">
      <c r="A8" s="43" t="s">
        <v>128</v>
      </c>
      <c r="B8" s="44">
        <v>0</v>
      </c>
    </row>
    <row r="9" spans="1:2" x14ac:dyDescent="0.2">
      <c r="A9" s="43" t="s">
        <v>129</v>
      </c>
      <c r="B9" s="44">
        <v>0.11</v>
      </c>
    </row>
    <row r="10" spans="1:2" x14ac:dyDescent="0.2">
      <c r="A10" s="43" t="s">
        <v>130</v>
      </c>
      <c r="B10" s="44">
        <v>0</v>
      </c>
    </row>
    <row r="11" spans="1:2" x14ac:dyDescent="0.2">
      <c r="A11" s="43" t="s">
        <v>131</v>
      </c>
      <c r="B11" s="44">
        <v>0</v>
      </c>
    </row>
    <row r="12" spans="1:2" x14ac:dyDescent="0.2">
      <c r="A12" s="43" t="s">
        <v>132</v>
      </c>
      <c r="B12" s="44">
        <v>0.23</v>
      </c>
    </row>
    <row r="13" spans="1:2" x14ac:dyDescent="0.2">
      <c r="A13" s="43" t="s">
        <v>133</v>
      </c>
      <c r="B13" s="44">
        <v>5.0000000000000001E-3</v>
      </c>
    </row>
    <row r="14" spans="1:2" x14ac:dyDescent="0.2">
      <c r="A14" s="43" t="s">
        <v>134</v>
      </c>
      <c r="B14" s="44">
        <v>0.48</v>
      </c>
    </row>
    <row r="15" spans="1:2" x14ac:dyDescent="0.2">
      <c r="A15" s="43" t="s">
        <v>135</v>
      </c>
      <c r="B15" s="44">
        <v>0.4</v>
      </c>
    </row>
    <row r="16" spans="1:2" x14ac:dyDescent="0.2">
      <c r="A16" s="43" t="s">
        <v>136</v>
      </c>
      <c r="B16" s="44">
        <v>0.25</v>
      </c>
    </row>
    <row r="17" spans="1:2" x14ac:dyDescent="0.2">
      <c r="A17" s="43" t="s">
        <v>137</v>
      </c>
      <c r="B17" s="44">
        <v>0.52</v>
      </c>
    </row>
    <row r="18" spans="1:2" x14ac:dyDescent="0.2">
      <c r="A18" s="43" t="s">
        <v>138</v>
      </c>
      <c r="B18" s="44">
        <v>0.5</v>
      </c>
    </row>
    <row r="19" spans="1:2" x14ac:dyDescent="0.2">
      <c r="A19" s="43" t="s">
        <v>139</v>
      </c>
      <c r="B19" s="44">
        <v>0.02</v>
      </c>
    </row>
    <row r="20" spans="1:2" x14ac:dyDescent="0.2">
      <c r="A20" s="43" t="s">
        <v>140</v>
      </c>
      <c r="B20" s="44">
        <v>0</v>
      </c>
    </row>
    <row r="21" spans="1:2" x14ac:dyDescent="0.2">
      <c r="A21" s="43" t="s">
        <v>141</v>
      </c>
      <c r="B21" s="44">
        <v>0.02</v>
      </c>
    </row>
    <row r="22" spans="1:2" x14ac:dyDescent="0.2">
      <c r="A22" s="43" t="s">
        <v>142</v>
      </c>
      <c r="B22" s="44">
        <v>0</v>
      </c>
    </row>
    <row r="23" spans="1:2" x14ac:dyDescent="0.2">
      <c r="A23" s="43" t="s">
        <v>143</v>
      </c>
      <c r="B23" s="44">
        <v>0.38</v>
      </c>
    </row>
    <row r="24" spans="1:2" x14ac:dyDescent="0.2">
      <c r="A24" s="43" t="s">
        <v>144</v>
      </c>
      <c r="B24" s="44">
        <v>0.5</v>
      </c>
    </row>
    <row r="25" spans="1:2" x14ac:dyDescent="0.2">
      <c r="A25" s="43" t="s">
        <v>145</v>
      </c>
      <c r="B25" s="44">
        <v>0.37</v>
      </c>
    </row>
    <row r="26" spans="1:2" x14ac:dyDescent="0.2">
      <c r="A26" s="43" t="s">
        <v>146</v>
      </c>
      <c r="B26" s="44">
        <v>0.05</v>
      </c>
    </row>
    <row r="27" spans="1:2" x14ac:dyDescent="0.2">
      <c r="A27" s="43" t="s">
        <v>147</v>
      </c>
      <c r="B27" s="44">
        <v>0.44</v>
      </c>
    </row>
    <row r="28" spans="1:2" x14ac:dyDescent="0.2">
      <c r="A28" s="43" t="s">
        <v>148</v>
      </c>
      <c r="B28" s="44">
        <v>0.49</v>
      </c>
    </row>
    <row r="29" spans="1:2" x14ac:dyDescent="0.2">
      <c r="A29" s="43" t="s">
        <v>149</v>
      </c>
      <c r="B29" s="44">
        <v>0.02</v>
      </c>
    </row>
    <row r="30" spans="1:2" x14ac:dyDescent="0.2">
      <c r="A30" s="43" t="s">
        <v>150</v>
      </c>
      <c r="B30" s="44">
        <v>0.55000000000000004</v>
      </c>
    </row>
    <row r="31" spans="1:2" x14ac:dyDescent="0.2">
      <c r="A31" s="43" t="s">
        <v>151</v>
      </c>
      <c r="B31" s="44">
        <v>0.25</v>
      </c>
    </row>
    <row r="32" spans="1:2" x14ac:dyDescent="0.2">
      <c r="A32" s="43" t="s">
        <v>152</v>
      </c>
      <c r="B32" s="44">
        <v>0.02</v>
      </c>
    </row>
    <row r="33" spans="1:2" x14ac:dyDescent="0.2">
      <c r="A33" s="43" t="s">
        <v>153</v>
      </c>
      <c r="B33" s="44">
        <v>0.02</v>
      </c>
    </row>
    <row r="34" spans="1:2" x14ac:dyDescent="0.2">
      <c r="A34" s="43" t="s">
        <v>154</v>
      </c>
      <c r="B34" s="44">
        <v>0.02</v>
      </c>
    </row>
    <row r="35" spans="1:2" x14ac:dyDescent="0.2">
      <c r="A35" s="43" t="s">
        <v>155</v>
      </c>
      <c r="B35" s="44">
        <v>0.02</v>
      </c>
    </row>
    <row r="36" spans="1:2" x14ac:dyDescent="0.2">
      <c r="A36" s="43" t="s">
        <v>156</v>
      </c>
      <c r="B36" s="44">
        <v>0.02</v>
      </c>
    </row>
    <row r="37" spans="1:2" x14ac:dyDescent="0.2">
      <c r="A37" s="43" t="s">
        <v>157</v>
      </c>
      <c r="B37" s="44">
        <v>0.52</v>
      </c>
    </row>
    <row r="38" spans="1:2" x14ac:dyDescent="0.2">
      <c r="A38" s="43" t="s">
        <v>158</v>
      </c>
      <c r="B38" s="44">
        <v>0.35</v>
      </c>
    </row>
    <row r="39" spans="1:2" x14ac:dyDescent="0.2">
      <c r="A39" s="43" t="s">
        <v>159</v>
      </c>
      <c r="B39" s="44">
        <v>0.25</v>
      </c>
    </row>
    <row r="40" spans="1:2" x14ac:dyDescent="0.2">
      <c r="A40" s="43" t="s">
        <v>160</v>
      </c>
      <c r="B40" s="44">
        <v>0.13</v>
      </c>
    </row>
    <row r="41" spans="1:2" x14ac:dyDescent="0.2">
      <c r="A41" s="43" t="s">
        <v>161</v>
      </c>
      <c r="B41" s="44">
        <v>0.49</v>
      </c>
    </row>
    <row r="42" spans="1:2" x14ac:dyDescent="0.2">
      <c r="A42" s="43" t="s">
        <v>162</v>
      </c>
      <c r="B42" s="44">
        <v>0.15</v>
      </c>
    </row>
    <row r="43" spans="1:2" x14ac:dyDescent="0.2">
      <c r="A43" s="43" t="s">
        <v>163</v>
      </c>
      <c r="B43" s="44">
        <v>0.18</v>
      </c>
    </row>
    <row r="44" spans="1:2" ht="14.25" x14ac:dyDescent="0.2">
      <c r="A44" s="43" t="s">
        <v>164</v>
      </c>
      <c r="B44" s="44">
        <v>0.5</v>
      </c>
    </row>
    <row r="45" spans="1:2" ht="14.25" x14ac:dyDescent="0.2">
      <c r="A45" s="43" t="s">
        <v>165</v>
      </c>
      <c r="B45" s="44">
        <v>0</v>
      </c>
    </row>
    <row r="46" spans="1:2" ht="14.25" x14ac:dyDescent="0.2">
      <c r="A46" s="43" t="s">
        <v>166</v>
      </c>
      <c r="B46" s="44">
        <v>0.5</v>
      </c>
    </row>
    <row r="47" spans="1:2" ht="14.25" x14ac:dyDescent="0.2">
      <c r="A47" s="43" t="s">
        <v>167</v>
      </c>
      <c r="B47" s="44">
        <v>0.15</v>
      </c>
    </row>
    <row r="48" spans="1:2" ht="14.25" x14ac:dyDescent="0.2">
      <c r="A48" s="43" t="s">
        <v>168</v>
      </c>
      <c r="B48" s="44">
        <v>0.52</v>
      </c>
    </row>
    <row r="49" spans="1:2" ht="14.25" x14ac:dyDescent="0.2">
      <c r="A49" s="43" t="s">
        <v>169</v>
      </c>
      <c r="B49" s="44">
        <v>0.02</v>
      </c>
    </row>
    <row r="50" spans="1:2" ht="14.25" x14ac:dyDescent="0.2">
      <c r="A50" s="43" t="s">
        <v>170</v>
      </c>
      <c r="B50" s="44">
        <v>0.02</v>
      </c>
    </row>
    <row r="51" spans="1:2" ht="14.25" x14ac:dyDescent="0.2">
      <c r="A51" s="43" t="s">
        <v>171</v>
      </c>
      <c r="B51" s="44">
        <v>0.02</v>
      </c>
    </row>
    <row r="52" spans="1:2" ht="14.25" x14ac:dyDescent="0.2">
      <c r="A52" s="43" t="s">
        <v>172</v>
      </c>
      <c r="B52" s="44">
        <v>0.25</v>
      </c>
    </row>
    <row r="53" spans="1:2" ht="14.25" x14ac:dyDescent="0.2">
      <c r="A53" s="43" t="s">
        <v>173</v>
      </c>
      <c r="B53" s="44">
        <v>0.3</v>
      </c>
    </row>
    <row r="54" spans="1:2" ht="14.25" x14ac:dyDescent="0.2">
      <c r="A54" s="43" t="s">
        <v>174</v>
      </c>
      <c r="B54" s="44">
        <v>0</v>
      </c>
    </row>
    <row r="55" spans="1:2" ht="14.25" x14ac:dyDescent="0.2">
      <c r="A55" s="43" t="s">
        <v>175</v>
      </c>
      <c r="B55" s="44">
        <v>0.02</v>
      </c>
    </row>
    <row r="56" spans="1:2" ht="14.25" x14ac:dyDescent="0.2">
      <c r="A56" s="43" t="s">
        <v>176</v>
      </c>
      <c r="B56" s="44">
        <v>0.2</v>
      </c>
    </row>
    <row r="57" spans="1:2" ht="14.25" x14ac:dyDescent="0.2">
      <c r="A57" s="43" t="s">
        <v>177</v>
      </c>
      <c r="B57" s="44">
        <v>0.5</v>
      </c>
    </row>
    <row r="58" spans="1:2" ht="14.25" x14ac:dyDescent="0.2">
      <c r="A58" s="43" t="s">
        <v>178</v>
      </c>
      <c r="B58" s="44">
        <v>0.15</v>
      </c>
    </row>
    <row r="59" spans="1:2" ht="14.25" x14ac:dyDescent="0.2">
      <c r="A59" s="43" t="s">
        <v>179</v>
      </c>
      <c r="B59" s="44">
        <v>0.15</v>
      </c>
    </row>
    <row r="60" spans="1:2" ht="14.25" x14ac:dyDescent="0.2">
      <c r="A60" s="43" t="s">
        <v>180</v>
      </c>
      <c r="B60" s="44">
        <v>0.59</v>
      </c>
    </row>
    <row r="61" spans="1:2" ht="14.25" x14ac:dyDescent="0.2">
      <c r="A61" s="43" t="s">
        <v>181</v>
      </c>
      <c r="B61" s="44">
        <v>0.2</v>
      </c>
    </row>
    <row r="62" spans="1:2" ht="14.25" x14ac:dyDescent="0.2">
      <c r="A62" s="43" t="s">
        <v>182</v>
      </c>
      <c r="B62" s="44">
        <v>0.35</v>
      </c>
    </row>
    <row r="63" spans="1:2" ht="14.25" x14ac:dyDescent="0.2">
      <c r="A63" s="43" t="s">
        <v>183</v>
      </c>
      <c r="B63" s="44">
        <v>0.18</v>
      </c>
    </row>
    <row r="64" spans="1:2" ht="14.25" x14ac:dyDescent="0.2">
      <c r="A64" s="43" t="s">
        <v>184</v>
      </c>
      <c r="B64" s="44">
        <v>0.33</v>
      </c>
    </row>
    <row r="65" spans="1:2" ht="14.25" x14ac:dyDescent="0.2">
      <c r="A65" s="43" t="s">
        <v>185</v>
      </c>
      <c r="B65" s="44">
        <v>0.08</v>
      </c>
    </row>
    <row r="66" spans="1:2" ht="14.25" x14ac:dyDescent="0.2">
      <c r="A66" s="43" t="s">
        <v>186</v>
      </c>
      <c r="B66" s="44">
        <v>0.04</v>
      </c>
    </row>
    <row r="67" spans="1:2" ht="14.25" x14ac:dyDescent="0.2">
      <c r="A67" s="43" t="s">
        <v>187</v>
      </c>
      <c r="B67" s="44">
        <v>0.1</v>
      </c>
    </row>
    <row r="68" spans="1:2" ht="14.25" x14ac:dyDescent="0.2">
      <c r="A68" s="43" t="s">
        <v>188</v>
      </c>
      <c r="B68" s="44">
        <v>0.02</v>
      </c>
    </row>
    <row r="69" spans="1:2" ht="14.25" x14ac:dyDescent="0.2">
      <c r="A69" s="43" t="s">
        <v>189</v>
      </c>
      <c r="B69" s="44">
        <v>0.02</v>
      </c>
    </row>
    <row r="70" spans="1:2" ht="14.25" x14ac:dyDescent="0.2">
      <c r="A70" s="43" t="s">
        <v>190</v>
      </c>
      <c r="B70" s="44">
        <v>0.25</v>
      </c>
    </row>
    <row r="71" spans="1:2" ht="14.25" x14ac:dyDescent="0.2">
      <c r="A71" s="43" t="s">
        <v>191</v>
      </c>
      <c r="B71" s="44">
        <v>0.02</v>
      </c>
    </row>
    <row r="72" spans="1:2" ht="14.25" x14ac:dyDescent="0.2">
      <c r="A72" s="43" t="s">
        <v>192</v>
      </c>
      <c r="B72" s="44">
        <v>0.28999999999999998</v>
      </c>
    </row>
    <row r="73" spans="1:2" ht="14.25" x14ac:dyDescent="0.2">
      <c r="A73" s="43" t="s">
        <v>193</v>
      </c>
      <c r="B73" s="44">
        <v>0.5</v>
      </c>
    </row>
    <row r="74" spans="1:2" ht="14.25" x14ac:dyDescent="0.2">
      <c r="A74" s="43" t="s">
        <v>194</v>
      </c>
      <c r="B74" s="44">
        <v>0.02</v>
      </c>
    </row>
    <row r="75" spans="1:2" ht="14.25" x14ac:dyDescent="0.2">
      <c r="A75" s="43" t="s">
        <v>195</v>
      </c>
      <c r="B75" s="44">
        <v>0.02</v>
      </c>
    </row>
    <row r="76" spans="1:2" ht="14.25" x14ac:dyDescent="0.2">
      <c r="A76" s="43" t="s">
        <v>196</v>
      </c>
      <c r="B76" s="44">
        <v>0.05</v>
      </c>
    </row>
    <row r="77" spans="1:2" ht="14.25" x14ac:dyDescent="0.2">
      <c r="A77" s="43" t="s">
        <v>197</v>
      </c>
      <c r="B77" s="44">
        <v>0.4</v>
      </c>
    </row>
    <row r="78" spans="1:2" ht="14.25" x14ac:dyDescent="0.2">
      <c r="A78" s="43" t="s">
        <v>198</v>
      </c>
      <c r="B78" s="44">
        <v>0.05</v>
      </c>
    </row>
    <row r="79" spans="1:2" ht="14.25" x14ac:dyDescent="0.2">
      <c r="A79" s="43" t="s">
        <v>199</v>
      </c>
      <c r="B79" s="44">
        <v>0.19</v>
      </c>
    </row>
    <row r="80" spans="1:2" ht="14.25" x14ac:dyDescent="0.2">
      <c r="A80" s="43" t="s">
        <v>200</v>
      </c>
      <c r="B80" s="44">
        <v>0.02</v>
      </c>
    </row>
    <row r="81" spans="1:2" ht="14.25" x14ac:dyDescent="0.2">
      <c r="A81" s="43" t="s">
        <v>201</v>
      </c>
      <c r="B81" s="44">
        <v>0.55000000000000004</v>
      </c>
    </row>
    <row r="82" spans="1:2" ht="14.25" x14ac:dyDescent="0.2">
      <c r="A82" s="43" t="s">
        <v>202</v>
      </c>
      <c r="B82" s="44">
        <v>0.55000000000000004</v>
      </c>
    </row>
    <row r="83" spans="1:2" ht="14.25" x14ac:dyDescent="0.2">
      <c r="A83" s="43" t="s">
        <v>203</v>
      </c>
      <c r="B83" s="44">
        <v>0.46</v>
      </c>
    </row>
    <row r="84" spans="1:2" ht="14.25" x14ac:dyDescent="0.2">
      <c r="A84" s="43" t="s">
        <v>204</v>
      </c>
      <c r="B84" s="44">
        <v>0.2</v>
      </c>
    </row>
    <row r="85" spans="1:2" ht="14.25" x14ac:dyDescent="0.2">
      <c r="A85" s="43" t="s">
        <v>205</v>
      </c>
      <c r="B85" s="44">
        <v>0.02</v>
      </c>
    </row>
    <row r="86" spans="1:2" ht="14.25" x14ac:dyDescent="0.2">
      <c r="A86" s="43" t="s">
        <v>206</v>
      </c>
      <c r="B86" s="44">
        <v>0.24</v>
      </c>
    </row>
    <row r="87" spans="1:2" ht="14.25" x14ac:dyDescent="0.2">
      <c r="A87" s="43" t="s">
        <v>207</v>
      </c>
      <c r="B87" s="44">
        <v>0.2</v>
      </c>
    </row>
    <row r="88" spans="1:2" ht="14.25" x14ac:dyDescent="0.2">
      <c r="A88" s="43" t="s">
        <v>208</v>
      </c>
      <c r="B88" s="44">
        <v>0.02</v>
      </c>
    </row>
    <row r="89" spans="1:2" ht="14.25" x14ac:dyDescent="0.2">
      <c r="A89" s="43" t="s">
        <v>209</v>
      </c>
      <c r="B89" s="44">
        <v>0.02</v>
      </c>
    </row>
    <row r="90" spans="1:2" ht="14.25" x14ac:dyDescent="0.2">
      <c r="A90" s="43" t="s">
        <v>210</v>
      </c>
      <c r="B90" s="44">
        <v>0.14000000000000001</v>
      </c>
    </row>
    <row r="91" spans="1:2" ht="14.25" x14ac:dyDescent="0.2">
      <c r="A91" s="43" t="s">
        <v>211</v>
      </c>
      <c r="B91" s="44">
        <v>0.13</v>
      </c>
    </row>
    <row r="92" spans="1:2" ht="14.25" x14ac:dyDescent="0.2">
      <c r="A92" s="43" t="s">
        <v>212</v>
      </c>
      <c r="B92" s="44">
        <v>0.19</v>
      </c>
    </row>
    <row r="93" spans="1:2" ht="14.25" x14ac:dyDescent="0.2">
      <c r="A93" s="43" t="s">
        <v>213</v>
      </c>
      <c r="B93" s="44">
        <v>0.09</v>
      </c>
    </row>
    <row r="94" spans="1:2" ht="14.25" x14ac:dyDescent="0.2">
      <c r="A94" s="43" t="s">
        <v>214</v>
      </c>
      <c r="B94" s="44">
        <v>0.15</v>
      </c>
    </row>
    <row r="95" spans="1:2" ht="14.25" x14ac:dyDescent="0.2">
      <c r="A95" s="43" t="s">
        <v>215</v>
      </c>
      <c r="B95" s="44">
        <v>0</v>
      </c>
    </row>
    <row r="96" spans="1:2" ht="14.25" x14ac:dyDescent="0.2">
      <c r="A96" s="43" t="s">
        <v>216</v>
      </c>
      <c r="B96" s="44">
        <v>0.15</v>
      </c>
    </row>
    <row r="97" spans="1:2" ht="14.25" x14ac:dyDescent="0.2">
      <c r="A97" s="43" t="s">
        <v>217</v>
      </c>
      <c r="B97" s="44">
        <v>0.23</v>
      </c>
    </row>
    <row r="98" spans="1:2" ht="14.25" x14ac:dyDescent="0.2">
      <c r="A98" s="43" t="s">
        <v>218</v>
      </c>
      <c r="B98" s="44">
        <v>0.23</v>
      </c>
    </row>
    <row r="99" spans="1:2" ht="14.25" x14ac:dyDescent="0.2">
      <c r="A99" s="43" t="s">
        <v>219</v>
      </c>
      <c r="B99" s="44">
        <v>0</v>
      </c>
    </row>
    <row r="100" spans="1:2" ht="14.25" x14ac:dyDescent="0.2">
      <c r="A100" s="43" t="s">
        <v>220</v>
      </c>
      <c r="B100" s="44">
        <v>0.02</v>
      </c>
    </row>
    <row r="101" spans="1:2" ht="14.25" x14ac:dyDescent="0.2">
      <c r="A101" s="43" t="s">
        <v>221</v>
      </c>
      <c r="B101" s="44">
        <v>0.1</v>
      </c>
    </row>
    <row r="102" spans="1:2" ht="14.25" x14ac:dyDescent="0.2">
      <c r="A102" s="43" t="s">
        <v>222</v>
      </c>
      <c r="B102" s="44">
        <v>0.05</v>
      </c>
    </row>
    <row r="103" spans="1:2" ht="14.25" x14ac:dyDescent="0.2">
      <c r="A103" s="43" t="s">
        <v>223</v>
      </c>
      <c r="B103" s="44">
        <v>0.05</v>
      </c>
    </row>
    <row r="104" spans="1:2" ht="14.25" x14ac:dyDescent="0.2">
      <c r="A104" s="43" t="s">
        <v>224</v>
      </c>
      <c r="B104" s="44">
        <v>0.05</v>
      </c>
    </row>
    <row r="105" spans="1:2" ht="14.25" x14ac:dyDescent="0.2">
      <c r="A105" s="43" t="s">
        <v>225</v>
      </c>
      <c r="B105" s="44">
        <v>0.05</v>
      </c>
    </row>
    <row r="106" spans="1:2" ht="14.25" x14ac:dyDescent="0.2">
      <c r="A106" s="43" t="s">
        <v>226</v>
      </c>
      <c r="B106" s="44">
        <v>0.1</v>
      </c>
    </row>
    <row r="107" spans="1:2" ht="14.25" x14ac:dyDescent="0.2">
      <c r="A107" s="43" t="s">
        <v>227</v>
      </c>
      <c r="B107" s="44">
        <v>0.05</v>
      </c>
    </row>
    <row r="108" spans="1:2" ht="14.25" x14ac:dyDescent="0.2">
      <c r="A108" s="43" t="s">
        <v>228</v>
      </c>
      <c r="B108" s="44">
        <v>0.02</v>
      </c>
    </row>
    <row r="109" spans="1:2" ht="14.25" x14ac:dyDescent="0.2">
      <c r="A109" s="43" t="s">
        <v>229</v>
      </c>
      <c r="B109" s="44">
        <v>0.42</v>
      </c>
    </row>
    <row r="110" spans="1:2" ht="14.25" x14ac:dyDescent="0.2">
      <c r="A110" s="43" t="s">
        <v>230</v>
      </c>
      <c r="B110" s="44">
        <v>0.02</v>
      </c>
    </row>
    <row r="111" spans="1:2" ht="14.25" x14ac:dyDescent="0.2">
      <c r="A111" s="43" t="s">
        <v>231</v>
      </c>
      <c r="B111" s="44">
        <v>0</v>
      </c>
    </row>
    <row r="112" spans="1:2" ht="14.25" x14ac:dyDescent="0.2">
      <c r="A112" s="43" t="s">
        <v>232</v>
      </c>
      <c r="B112" s="44">
        <v>0.36</v>
      </c>
    </row>
    <row r="113" spans="1:2" ht="14.25" x14ac:dyDescent="0.2">
      <c r="A113" s="43" t="s">
        <v>233</v>
      </c>
      <c r="B113" s="44">
        <v>0.05</v>
      </c>
    </row>
    <row r="114" spans="1:2" ht="14.25" x14ac:dyDescent="0.2">
      <c r="A114" s="43" t="s">
        <v>234</v>
      </c>
      <c r="B114" s="44">
        <v>0.13</v>
      </c>
    </row>
    <row r="115" spans="1:2" ht="14.25" x14ac:dyDescent="0.2">
      <c r="A115" s="43" t="s">
        <v>235</v>
      </c>
      <c r="B115" s="44">
        <v>0.6</v>
      </c>
    </row>
    <row r="116" spans="1:2" ht="14.25" x14ac:dyDescent="0.2">
      <c r="A116" s="43" t="s">
        <v>236</v>
      </c>
      <c r="B116" s="44">
        <v>0.02</v>
      </c>
    </row>
    <row r="117" spans="1:2" ht="14.25" x14ac:dyDescent="0.2">
      <c r="A117" s="43" t="s">
        <v>237</v>
      </c>
      <c r="B117" s="44">
        <v>0.02</v>
      </c>
    </row>
    <row r="118" spans="1:2" ht="14.25" x14ac:dyDescent="0.2">
      <c r="A118" s="43" t="s">
        <v>238</v>
      </c>
      <c r="B118" s="44">
        <v>0.02</v>
      </c>
    </row>
    <row r="119" spans="1:2" ht="14.25" x14ac:dyDescent="0.2">
      <c r="A119" s="43" t="s">
        <v>239</v>
      </c>
      <c r="B119" s="44">
        <v>0.02</v>
      </c>
    </row>
    <row r="120" spans="1:2" ht="14.25" x14ac:dyDescent="0.2">
      <c r="A120" s="43" t="s">
        <v>240</v>
      </c>
      <c r="B120" s="44">
        <v>0.02</v>
      </c>
    </row>
    <row r="121" spans="1:2" ht="14.25" x14ac:dyDescent="0.2">
      <c r="A121" s="43" t="s">
        <v>241</v>
      </c>
      <c r="B121" s="44">
        <v>0.05</v>
      </c>
    </row>
    <row r="122" spans="1:2" ht="14.25" x14ac:dyDescent="0.2">
      <c r="A122" s="43" t="s">
        <v>242</v>
      </c>
      <c r="B122" s="44">
        <v>0.03</v>
      </c>
    </row>
    <row r="123" spans="1:2" ht="14.25" x14ac:dyDescent="0.2">
      <c r="A123" s="43" t="s">
        <v>243</v>
      </c>
      <c r="B123" s="44">
        <v>0.1</v>
      </c>
    </row>
    <row r="124" spans="1:2" ht="14.25" x14ac:dyDescent="0.2">
      <c r="A124" s="43" t="s">
        <v>244</v>
      </c>
      <c r="B124" s="44">
        <v>0.05</v>
      </c>
    </row>
    <row r="125" spans="1:2" ht="14.25" x14ac:dyDescent="0.2">
      <c r="A125" s="43" t="s">
        <v>245</v>
      </c>
      <c r="B125" s="44">
        <v>0.02</v>
      </c>
    </row>
    <row r="126" spans="1:2" ht="14.25" x14ac:dyDescent="0.2">
      <c r="A126" s="43" t="s">
        <v>246</v>
      </c>
      <c r="B126" s="44">
        <v>0.1</v>
      </c>
    </row>
    <row r="127" spans="1:2" ht="14.25" x14ac:dyDescent="0.2">
      <c r="A127" s="43" t="s">
        <v>247</v>
      </c>
      <c r="B127" s="44">
        <v>0.4</v>
      </c>
    </row>
    <row r="128" spans="1:2" ht="14.25" x14ac:dyDescent="0.2">
      <c r="A128" s="43" t="s">
        <v>248</v>
      </c>
      <c r="B128" s="44">
        <v>0.7</v>
      </c>
    </row>
    <row r="129" spans="1:2" ht="14.25" x14ac:dyDescent="0.2">
      <c r="A129" s="43" t="s">
        <v>249</v>
      </c>
      <c r="B129" s="44">
        <v>0.05</v>
      </c>
    </row>
    <row r="130" spans="1:2" ht="14.25" x14ac:dyDescent="0.2">
      <c r="A130" s="43" t="s">
        <v>250</v>
      </c>
      <c r="B130" s="44">
        <v>0.2</v>
      </c>
    </row>
    <row r="131" spans="1:2" ht="14.25" x14ac:dyDescent="0.2">
      <c r="A131" s="43" t="s">
        <v>251</v>
      </c>
      <c r="B131" s="44">
        <v>0.02</v>
      </c>
    </row>
    <row r="132" spans="1:2" ht="14.25" x14ac:dyDescent="0.2">
      <c r="A132" s="43" t="s">
        <v>252</v>
      </c>
      <c r="B132" s="44">
        <v>0</v>
      </c>
    </row>
    <row r="133" spans="1:2" ht="14.25" x14ac:dyDescent="0.2">
      <c r="A133" s="43" t="s">
        <v>253</v>
      </c>
      <c r="B133" s="44">
        <v>0</v>
      </c>
    </row>
    <row r="134" spans="1:2" ht="14.25" x14ac:dyDescent="0.2">
      <c r="A134" s="43" t="s">
        <v>254</v>
      </c>
      <c r="B134" s="44">
        <v>0</v>
      </c>
    </row>
    <row r="135" spans="1:2" ht="14.25" x14ac:dyDescent="0.2">
      <c r="A135" s="43" t="s">
        <v>255</v>
      </c>
      <c r="B135" s="44">
        <v>0</v>
      </c>
    </row>
    <row r="136" spans="1:2" ht="14.25" x14ac:dyDescent="0.2">
      <c r="A136" s="43" t="s">
        <v>256</v>
      </c>
      <c r="B136" s="44">
        <v>0.21</v>
      </c>
    </row>
    <row r="137" spans="1:2" ht="14.25" x14ac:dyDescent="0.2">
      <c r="A137" s="43" t="s">
        <v>257</v>
      </c>
      <c r="B137" s="44">
        <v>0.05</v>
      </c>
    </row>
    <row r="138" spans="1:2" ht="14.25" x14ac:dyDescent="0.2">
      <c r="A138" s="43" t="s">
        <v>258</v>
      </c>
      <c r="B138" s="44">
        <v>0.2</v>
      </c>
    </row>
    <row r="139" spans="1:2" ht="14.25" x14ac:dyDescent="0.2">
      <c r="A139" s="43" t="s">
        <v>259</v>
      </c>
      <c r="B139" s="44">
        <v>0.35</v>
      </c>
    </row>
    <row r="140" spans="1:2" ht="14.25" x14ac:dyDescent="0.2">
      <c r="A140" s="43" t="s">
        <v>260</v>
      </c>
      <c r="B140" s="44">
        <v>0.5</v>
      </c>
    </row>
    <row r="141" spans="1:2" ht="14.25" x14ac:dyDescent="0.2">
      <c r="A141" s="43" t="s">
        <v>261</v>
      </c>
      <c r="B141" s="44">
        <v>0.02</v>
      </c>
    </row>
    <row r="142" spans="1:2" ht="14.25" x14ac:dyDescent="0.2">
      <c r="A142" s="43" t="s">
        <v>262</v>
      </c>
      <c r="B142" s="44">
        <v>0</v>
      </c>
    </row>
    <row r="143" spans="1:2" ht="14.25" x14ac:dyDescent="0.2">
      <c r="A143" s="43" t="s">
        <v>263</v>
      </c>
      <c r="B143" s="44">
        <v>0</v>
      </c>
    </row>
    <row r="144" spans="1:2" ht="14.25" x14ac:dyDescent="0.2">
      <c r="A144" s="43" t="s">
        <v>264</v>
      </c>
      <c r="B144" s="44">
        <v>0.25</v>
      </c>
    </row>
    <row r="145" spans="1:2" ht="14.25" x14ac:dyDescent="0.2">
      <c r="A145" s="43" t="s">
        <v>265</v>
      </c>
      <c r="B145" s="44">
        <v>0</v>
      </c>
    </row>
    <row r="146" spans="1:2" ht="14.25" x14ac:dyDescent="0.2">
      <c r="A146" s="43" t="s">
        <v>266</v>
      </c>
      <c r="B146" s="44">
        <v>0.23</v>
      </c>
    </row>
    <row r="147" spans="1:2" ht="14.25" x14ac:dyDescent="0.2">
      <c r="A147" s="43" t="s">
        <v>267</v>
      </c>
      <c r="B147" s="44">
        <v>0.5</v>
      </c>
    </row>
    <row r="148" spans="1:2" ht="14.25" x14ac:dyDescent="0.2">
      <c r="A148" s="43" t="s">
        <v>268</v>
      </c>
      <c r="B148" s="44">
        <v>0.02</v>
      </c>
    </row>
    <row r="149" spans="1:2" ht="14.25" x14ac:dyDescent="0.2">
      <c r="A149" s="43" t="s">
        <v>269</v>
      </c>
      <c r="B149" s="44">
        <v>0</v>
      </c>
    </row>
    <row r="150" spans="1:2" ht="14.25" x14ac:dyDescent="0.2">
      <c r="A150" s="43" t="s">
        <v>270</v>
      </c>
      <c r="B150" s="44">
        <v>0</v>
      </c>
    </row>
    <row r="151" spans="1:2" ht="14.25" x14ac:dyDescent="0.2">
      <c r="A151" s="43" t="s">
        <v>271</v>
      </c>
      <c r="B151" s="44">
        <v>0</v>
      </c>
    </row>
    <row r="152" spans="1:2" ht="14.25" x14ac:dyDescent="0.2">
      <c r="A152" s="43" t="s">
        <v>272</v>
      </c>
      <c r="B152" s="44">
        <v>0.38</v>
      </c>
    </row>
    <row r="153" spans="1:2" ht="14.25" x14ac:dyDescent="0.2">
      <c r="A153" s="43" t="s">
        <v>273</v>
      </c>
      <c r="B153" s="44">
        <v>0.24</v>
      </c>
    </row>
    <row r="154" spans="1:2" ht="14.25" x14ac:dyDescent="0.2">
      <c r="A154" s="43" t="s">
        <v>274</v>
      </c>
      <c r="B154" s="44">
        <v>0.05</v>
      </c>
    </row>
    <row r="155" spans="1:2" ht="14.25" x14ac:dyDescent="0.2">
      <c r="A155" s="43" t="s">
        <v>275</v>
      </c>
      <c r="B155" s="44">
        <v>0.36</v>
      </c>
    </row>
    <row r="156" spans="1:2" ht="14.25" x14ac:dyDescent="0.2">
      <c r="A156" s="43"/>
      <c r="B156" s="44"/>
    </row>
    <row r="157" spans="1:2" ht="14.25" x14ac:dyDescent="0.2">
      <c r="A157" s="43" t="s">
        <v>276</v>
      </c>
      <c r="B157" s="44">
        <v>0.2</v>
      </c>
    </row>
    <row r="158" spans="1:2" ht="14.25" x14ac:dyDescent="0.2">
      <c r="A158" s="43" t="s">
        <v>277</v>
      </c>
      <c r="B158" s="44">
        <v>0.18</v>
      </c>
    </row>
    <row r="159" spans="1:2" ht="14.25" x14ac:dyDescent="0.2">
      <c r="A159" s="43"/>
      <c r="B159" s="44"/>
    </row>
    <row r="160" spans="1:2" ht="14.25" x14ac:dyDescent="0.2">
      <c r="A160" s="43" t="s">
        <v>278</v>
      </c>
      <c r="B160" s="44">
        <v>0.02</v>
      </c>
    </row>
    <row r="161" spans="1:2" ht="14.25" x14ac:dyDescent="0.2">
      <c r="A161" s="43" t="s">
        <v>279</v>
      </c>
      <c r="B161" s="44">
        <v>0.37</v>
      </c>
    </row>
    <row r="162" spans="1:2" ht="14.25" x14ac:dyDescent="0.2">
      <c r="A162" s="43" t="s">
        <v>280</v>
      </c>
      <c r="B162" s="44">
        <v>0.25</v>
      </c>
    </row>
    <row r="163" spans="1:2" ht="14.25" x14ac:dyDescent="0.2">
      <c r="A163" s="43"/>
      <c r="B163" s="44"/>
    </row>
    <row r="164" spans="1:2" ht="14.25" x14ac:dyDescent="0.2">
      <c r="A164" s="43" t="s">
        <v>281</v>
      </c>
      <c r="B164" s="44">
        <v>0</v>
      </c>
    </row>
    <row r="165" spans="1:2" ht="14.25" x14ac:dyDescent="0.2">
      <c r="A165" s="43" t="s">
        <v>282</v>
      </c>
      <c r="B165" s="44">
        <v>0.02</v>
      </c>
    </row>
    <row r="166" spans="1:2" ht="14.25" x14ac:dyDescent="0.2">
      <c r="A166" s="43" t="s">
        <v>283</v>
      </c>
      <c r="B166" s="44">
        <v>0.02</v>
      </c>
    </row>
    <row r="167" spans="1:2" ht="14.25" x14ac:dyDescent="0.2">
      <c r="A167" s="43" t="s">
        <v>284</v>
      </c>
      <c r="B167" s="44">
        <v>0.14000000000000001</v>
      </c>
    </row>
    <row r="168" spans="1:2" ht="14.25" x14ac:dyDescent="0.2">
      <c r="A168" s="43" t="s">
        <v>285</v>
      </c>
      <c r="B168" s="44">
        <v>0</v>
      </c>
    </row>
    <row r="169" spans="1:2" ht="14.25" x14ac:dyDescent="0.2">
      <c r="A169" s="43" t="s">
        <v>286</v>
      </c>
      <c r="B169" s="44">
        <v>0.05</v>
      </c>
    </row>
    <row r="170" spans="1:2" ht="14.25" x14ac:dyDescent="0.2">
      <c r="A170" s="43" t="s">
        <v>287</v>
      </c>
      <c r="B170" s="44">
        <v>0.02</v>
      </c>
    </row>
    <row r="171" spans="1:2" ht="14.25" x14ac:dyDescent="0.2">
      <c r="A171" s="43" t="s">
        <v>288</v>
      </c>
      <c r="B171" s="44">
        <v>0.02</v>
      </c>
    </row>
    <row r="172" spans="1:2" ht="14.25" x14ac:dyDescent="0.2">
      <c r="A172" s="43" t="s">
        <v>289</v>
      </c>
      <c r="B172" s="44">
        <v>0.45</v>
      </c>
    </row>
    <row r="173" spans="1:2" ht="14.25" x14ac:dyDescent="0.2">
      <c r="A173" s="43" t="s">
        <v>290</v>
      </c>
      <c r="B173" s="44">
        <v>0.33</v>
      </c>
    </row>
    <row r="174" spans="1:2" ht="14.25" x14ac:dyDescent="0.2">
      <c r="A174" s="43" t="s">
        <v>291</v>
      </c>
      <c r="B174" s="44">
        <v>0.31</v>
      </c>
    </row>
    <row r="175" spans="1:2" ht="14.25" x14ac:dyDescent="0.2">
      <c r="A175" s="43" t="s">
        <v>292</v>
      </c>
      <c r="B175" s="44">
        <v>0.4</v>
      </c>
    </row>
    <row r="176" spans="1:2" ht="14.25" x14ac:dyDescent="0.2">
      <c r="A176" s="43" t="s">
        <v>293</v>
      </c>
      <c r="B176" s="44">
        <v>0.02</v>
      </c>
    </row>
    <row r="177" spans="1:2" ht="14.25" x14ac:dyDescent="0.2">
      <c r="A177" s="43" t="s">
        <v>294</v>
      </c>
      <c r="B177" s="44">
        <v>0.05</v>
      </c>
    </row>
    <row r="178" spans="1:2" ht="14.25" x14ac:dyDescent="0.2">
      <c r="A178" s="43" t="s">
        <v>295</v>
      </c>
      <c r="B178" s="44">
        <v>0.2</v>
      </c>
    </row>
    <row r="179" spans="1:2" ht="14.25" x14ac:dyDescent="0.2">
      <c r="A179" s="43" t="s">
        <v>296</v>
      </c>
      <c r="B179" s="44">
        <v>7.0000000000000007E-2</v>
      </c>
    </row>
    <row r="180" spans="1:2" ht="14.25" x14ac:dyDescent="0.2">
      <c r="A180" s="43" t="s">
        <v>297</v>
      </c>
      <c r="B180" s="44">
        <v>0.26</v>
      </c>
    </row>
    <row r="181" spans="1:2" ht="14.25" x14ac:dyDescent="0.2">
      <c r="A181" s="43" t="s">
        <v>298</v>
      </c>
      <c r="B181" s="44">
        <v>0.26</v>
      </c>
    </row>
    <row r="182" spans="1:2" ht="14.25" x14ac:dyDescent="0.2">
      <c r="A182" s="43" t="s">
        <v>299</v>
      </c>
      <c r="B182" s="44">
        <v>0.26</v>
      </c>
    </row>
    <row r="183" spans="1:2" ht="14.25" x14ac:dyDescent="0.2">
      <c r="A183" s="43" t="s">
        <v>300</v>
      </c>
      <c r="B183" s="44">
        <v>0.02</v>
      </c>
    </row>
    <row r="184" spans="1:2" ht="14.25" x14ac:dyDescent="0.2">
      <c r="A184" s="43"/>
      <c r="B184" s="44"/>
    </row>
    <row r="185" spans="1:2" ht="14.25" x14ac:dyDescent="0.2">
      <c r="A185" s="43" t="s">
        <v>301</v>
      </c>
      <c r="B185" s="44">
        <v>0.05</v>
      </c>
    </row>
    <row r="186" spans="1:2" ht="14.25" x14ac:dyDescent="0.2">
      <c r="A186" s="43" t="s">
        <v>302</v>
      </c>
      <c r="B186" s="44">
        <v>0.16</v>
      </c>
    </row>
    <row r="187" spans="1:2" ht="14.25" x14ac:dyDescent="0.2">
      <c r="A187" s="43" t="s">
        <v>303</v>
      </c>
      <c r="B187" s="44">
        <v>0.12</v>
      </c>
    </row>
    <row r="188" spans="1:2" ht="14.25" x14ac:dyDescent="0.2">
      <c r="A188" s="43" t="s">
        <v>304</v>
      </c>
      <c r="B188" s="44">
        <v>0.36</v>
      </c>
    </row>
    <row r="189" spans="1:2" ht="14.25" x14ac:dyDescent="0.2">
      <c r="A189" s="43" t="s">
        <v>305</v>
      </c>
      <c r="B189" s="44">
        <v>0.24</v>
      </c>
    </row>
    <row r="190" spans="1:2" ht="14.25" x14ac:dyDescent="0.2">
      <c r="A190" s="43" t="s">
        <v>306</v>
      </c>
      <c r="B190" s="44">
        <v>0.02</v>
      </c>
    </row>
    <row r="191" spans="1:2" ht="14.25" x14ac:dyDescent="0.2">
      <c r="A191" s="43" t="s">
        <v>307</v>
      </c>
      <c r="B191" s="44">
        <v>0.02</v>
      </c>
    </row>
    <row r="192" spans="1:2" ht="14.25" x14ac:dyDescent="0.2">
      <c r="A192" s="43" t="s">
        <v>308</v>
      </c>
      <c r="B192" s="44">
        <v>0.2</v>
      </c>
    </row>
    <row r="193" spans="1:2" ht="14.25" x14ac:dyDescent="0.2">
      <c r="A193" s="43" t="s">
        <v>309</v>
      </c>
      <c r="B193" s="44">
        <v>0.02</v>
      </c>
    </row>
    <row r="194" spans="1:2" ht="14.25" x14ac:dyDescent="0.2">
      <c r="A194" s="43" t="s">
        <v>310</v>
      </c>
      <c r="B194" s="44">
        <v>0.37</v>
      </c>
    </row>
    <row r="195" spans="1:2" ht="14.25" x14ac:dyDescent="0.2">
      <c r="A195" s="43" t="s">
        <v>311</v>
      </c>
      <c r="B195" s="44">
        <v>0.05</v>
      </c>
    </row>
    <row r="196" spans="1:2" ht="14.25" x14ac:dyDescent="0.2">
      <c r="A196" s="43" t="s">
        <v>313</v>
      </c>
      <c r="B196" s="44">
        <v>0.05</v>
      </c>
    </row>
    <row r="197" spans="1:2" ht="14.25" x14ac:dyDescent="0.2">
      <c r="A197" s="43" t="s">
        <v>314</v>
      </c>
      <c r="B197" s="44">
        <v>0.02</v>
      </c>
    </row>
    <row r="198" spans="1:2" ht="14.25" x14ac:dyDescent="0.2">
      <c r="A198" s="43" t="s">
        <v>315</v>
      </c>
      <c r="B198" s="44">
        <v>0.05</v>
      </c>
    </row>
    <row r="199" spans="1:2" ht="14.25" x14ac:dyDescent="0.2">
      <c r="A199" s="43" t="s">
        <v>316</v>
      </c>
      <c r="B199" s="44">
        <v>0.15</v>
      </c>
    </row>
    <row r="200" spans="1:2" ht="14.25" x14ac:dyDescent="0.2">
      <c r="A200" s="43" t="s">
        <v>317</v>
      </c>
      <c r="B200" s="44">
        <v>0.32</v>
      </c>
    </row>
    <row r="201" spans="1:2" ht="14.25" x14ac:dyDescent="0.2">
      <c r="A201" s="43" t="s">
        <v>318</v>
      </c>
      <c r="B201" s="44">
        <v>0.4</v>
      </c>
    </row>
    <row r="202" spans="1:2" ht="14.25" x14ac:dyDescent="0.2">
      <c r="A202" s="43" t="s">
        <v>319</v>
      </c>
      <c r="B202" s="44">
        <v>0.39</v>
      </c>
    </row>
    <row r="203" spans="1:2" ht="14.25" x14ac:dyDescent="0.2">
      <c r="A203" s="43" t="s">
        <v>320</v>
      </c>
      <c r="B203" s="44">
        <v>0.27</v>
      </c>
    </row>
    <row r="204" spans="1:2" ht="14.25" x14ac:dyDescent="0.2">
      <c r="A204" s="43" t="s">
        <v>321</v>
      </c>
      <c r="B204" s="46">
        <v>0.15</v>
      </c>
    </row>
    <row r="205" spans="1:2" ht="14.25" x14ac:dyDescent="0.2">
      <c r="A205" s="43" t="s">
        <v>322</v>
      </c>
      <c r="B205" s="44">
        <v>0.5</v>
      </c>
    </row>
    <row r="206" spans="1:2" ht="14.25" x14ac:dyDescent="0.2">
      <c r="A206" s="43" t="s">
        <v>323</v>
      </c>
      <c r="B206" s="44">
        <v>0.45</v>
      </c>
    </row>
    <row r="207" spans="1:2" ht="14.25" x14ac:dyDescent="0.2">
      <c r="A207" s="43" t="s">
        <v>324</v>
      </c>
      <c r="B207" s="44">
        <v>0.3</v>
      </c>
    </row>
    <row r="208" spans="1:2" ht="14.25" x14ac:dyDescent="0.2">
      <c r="A208" s="43" t="s">
        <v>325</v>
      </c>
      <c r="B208" s="44">
        <v>0.26</v>
      </c>
    </row>
    <row r="209" spans="1:2" ht="14.25" x14ac:dyDescent="0.2">
      <c r="A209" s="47" t="s">
        <v>326</v>
      </c>
      <c r="B209" s="44">
        <v>0.52</v>
      </c>
    </row>
    <row r="210" spans="1:2" ht="14.25" x14ac:dyDescent="0.2">
      <c r="A210" s="43"/>
      <c r="B210" s="44"/>
    </row>
    <row r="211" spans="1:2" ht="14.25" x14ac:dyDescent="0.2">
      <c r="A211" s="43" t="s">
        <v>327</v>
      </c>
      <c r="B211" s="44">
        <v>0.4</v>
      </c>
    </row>
    <row r="212" spans="1:2" ht="14.25" x14ac:dyDescent="0.2">
      <c r="A212" s="47" t="s">
        <v>328</v>
      </c>
      <c r="B212" s="44">
        <v>0.5</v>
      </c>
    </row>
    <row r="213" spans="1:2" ht="14.25" x14ac:dyDescent="0.2">
      <c r="A213" s="43" t="s">
        <v>329</v>
      </c>
      <c r="B213" s="48">
        <v>0.02</v>
      </c>
    </row>
    <row r="214" spans="1:2" ht="14.25" x14ac:dyDescent="0.2">
      <c r="A214" s="43" t="s">
        <v>330</v>
      </c>
      <c r="B214" s="48">
        <v>0.02</v>
      </c>
    </row>
    <row r="215" spans="1:2" ht="14.25" x14ac:dyDescent="0.2">
      <c r="A215" s="43" t="s">
        <v>331</v>
      </c>
      <c r="B215" s="48">
        <v>0.02</v>
      </c>
    </row>
    <row r="216" spans="1:2" ht="14.25" x14ac:dyDescent="0.2">
      <c r="A216" s="43" t="s">
        <v>332</v>
      </c>
      <c r="B216" s="48">
        <v>0.26</v>
      </c>
    </row>
    <row r="217" spans="1:2" ht="14.25" x14ac:dyDescent="0.2">
      <c r="A217" s="43" t="s">
        <v>333</v>
      </c>
      <c r="B217" s="48">
        <v>0.02</v>
      </c>
    </row>
    <row r="218" spans="1:2" ht="14.25" x14ac:dyDescent="0.2">
      <c r="A218" s="43" t="s">
        <v>334</v>
      </c>
      <c r="B218" s="48">
        <v>0.02</v>
      </c>
    </row>
    <row r="219" spans="1:2" ht="14.25" x14ac:dyDescent="0.2">
      <c r="A219" s="43" t="s">
        <v>335</v>
      </c>
      <c r="B219" s="48">
        <v>0.15</v>
      </c>
    </row>
    <row r="220" spans="1:2" ht="14.25" x14ac:dyDescent="0.2">
      <c r="A220" s="43" t="s">
        <v>336</v>
      </c>
      <c r="B220" s="48">
        <v>0.05</v>
      </c>
    </row>
    <row r="221" spans="1:2" ht="14.25" x14ac:dyDescent="0.2">
      <c r="A221" s="43" t="s">
        <v>337</v>
      </c>
      <c r="B221" s="48">
        <v>0.03</v>
      </c>
    </row>
    <row r="222" spans="1:2" ht="14.25" x14ac:dyDescent="0.2">
      <c r="A222" s="43" t="s">
        <v>338</v>
      </c>
      <c r="B222" s="48">
        <v>0.02</v>
      </c>
    </row>
    <row r="223" spans="1:2" ht="14.25" x14ac:dyDescent="0.2">
      <c r="A223" s="43" t="s">
        <v>339</v>
      </c>
      <c r="B223" s="48">
        <v>0.42</v>
      </c>
    </row>
    <row r="224" spans="1:2" ht="14.25" x14ac:dyDescent="0.2">
      <c r="A224" s="43" t="s">
        <v>340</v>
      </c>
      <c r="B224" s="48">
        <v>0.36</v>
      </c>
    </row>
    <row r="225" spans="1:2" ht="14.25" x14ac:dyDescent="0.2">
      <c r="A225" s="43" t="s">
        <v>341</v>
      </c>
      <c r="B225" s="48">
        <v>0.6</v>
      </c>
    </row>
    <row r="226" spans="1:2" ht="14.25" x14ac:dyDescent="0.2">
      <c r="A226" s="43" t="s">
        <v>342</v>
      </c>
      <c r="B226" s="48">
        <v>0</v>
      </c>
    </row>
    <row r="227" spans="1:2" ht="14.25" x14ac:dyDescent="0.2">
      <c r="A227" s="43" t="s">
        <v>343</v>
      </c>
      <c r="B227" s="48">
        <v>0.48</v>
      </c>
    </row>
    <row r="228" spans="1:2" ht="14.25" x14ac:dyDescent="0.2">
      <c r="A228" s="43" t="s">
        <v>344</v>
      </c>
      <c r="B228" s="48">
        <v>0.5</v>
      </c>
    </row>
    <row r="229" spans="1:2" ht="14.25" x14ac:dyDescent="0.2">
      <c r="A229" s="43" t="s">
        <v>345</v>
      </c>
      <c r="B229" s="48">
        <v>0.02</v>
      </c>
    </row>
    <row r="230" spans="1:2" ht="14.25" x14ac:dyDescent="0.2">
      <c r="A230" s="43" t="s">
        <v>346</v>
      </c>
      <c r="B230" s="48">
        <v>0.05</v>
      </c>
    </row>
    <row r="231" spans="1:2" ht="14.25" x14ac:dyDescent="0.2">
      <c r="A231" s="43" t="s">
        <v>349</v>
      </c>
      <c r="B231" s="48">
        <v>0.05</v>
      </c>
    </row>
    <row r="232" spans="1:2" ht="14.25" x14ac:dyDescent="0.2">
      <c r="A232" s="43" t="s">
        <v>347</v>
      </c>
      <c r="B232" s="48">
        <v>0.02</v>
      </c>
    </row>
    <row r="233" spans="1:2" ht="14.25" x14ac:dyDescent="0.2">
      <c r="A233" s="43" t="s">
        <v>348</v>
      </c>
      <c r="B233" s="48">
        <v>0.1</v>
      </c>
    </row>
    <row r="234" spans="1:2" ht="14.25" x14ac:dyDescent="0.2">
      <c r="A234" s="43" t="s">
        <v>350</v>
      </c>
      <c r="B234" s="48">
        <v>0.02</v>
      </c>
    </row>
    <row r="235" spans="1:2" ht="14.25" x14ac:dyDescent="0.2">
      <c r="A235" s="43" t="s">
        <v>351</v>
      </c>
      <c r="B235" s="48">
        <v>0.25</v>
      </c>
    </row>
    <row r="236" spans="1:2" ht="14.25" x14ac:dyDescent="0.2">
      <c r="A236" s="43" t="s">
        <v>352</v>
      </c>
      <c r="B236" s="48">
        <v>0.45</v>
      </c>
    </row>
    <row r="237" spans="1:2" ht="14.25" x14ac:dyDescent="0.2">
      <c r="A237" s="43" t="s">
        <v>353</v>
      </c>
      <c r="B237" s="48">
        <v>0.12</v>
      </c>
    </row>
    <row r="238" spans="1:2" ht="14.25" x14ac:dyDescent="0.2">
      <c r="A238" s="43" t="s">
        <v>354</v>
      </c>
      <c r="B238" s="48">
        <v>0.23</v>
      </c>
    </row>
    <row r="239" spans="1:2" ht="14.25" x14ac:dyDescent="0.2">
      <c r="A239" s="43" t="s">
        <v>355</v>
      </c>
      <c r="B239" s="48">
        <v>0.35</v>
      </c>
    </row>
    <row r="240" spans="1:2" ht="14.25" x14ac:dyDescent="0.2">
      <c r="A240" s="43" t="s">
        <v>356</v>
      </c>
      <c r="B240" s="48">
        <v>0.02</v>
      </c>
    </row>
    <row r="241" spans="1:2" ht="14.25" x14ac:dyDescent="0.2">
      <c r="A241" s="43" t="s">
        <v>357</v>
      </c>
      <c r="B241" s="48">
        <v>0.4</v>
      </c>
    </row>
    <row r="242" spans="1:2" ht="14.25" x14ac:dyDescent="0.2">
      <c r="A242" s="43" t="s">
        <v>358</v>
      </c>
      <c r="B242" s="48">
        <v>0.02</v>
      </c>
    </row>
    <row r="243" spans="1:2" ht="14.25" x14ac:dyDescent="0.2">
      <c r="A243" s="43" t="s">
        <v>359</v>
      </c>
      <c r="B243" s="48">
        <v>0.5</v>
      </c>
    </row>
    <row r="244" spans="1:2" ht="14.25" x14ac:dyDescent="0.2">
      <c r="A244" s="43" t="s">
        <v>360</v>
      </c>
      <c r="B244" s="48">
        <v>0.02</v>
      </c>
    </row>
    <row r="245" spans="1:2" ht="14.25" x14ac:dyDescent="0.2">
      <c r="A245" s="43" t="s">
        <v>361</v>
      </c>
      <c r="B245" s="48">
        <v>0</v>
      </c>
    </row>
    <row r="246" spans="1:2" ht="14.25" x14ac:dyDescent="0.2">
      <c r="A246" s="43" t="s">
        <v>362</v>
      </c>
      <c r="B246" s="48">
        <v>0</v>
      </c>
    </row>
    <row r="247" spans="1:2" ht="14.25" x14ac:dyDescent="0.2">
      <c r="A247" s="43" t="s">
        <v>363</v>
      </c>
      <c r="B247" s="48">
        <v>0</v>
      </c>
    </row>
    <row r="248" spans="1:2" ht="14.25" x14ac:dyDescent="0.2">
      <c r="A248" s="43" t="s">
        <v>364</v>
      </c>
      <c r="B248" s="48">
        <v>0.24</v>
      </c>
    </row>
    <row r="249" spans="1:2" ht="14.25" x14ac:dyDescent="0.2">
      <c r="A249" s="43" t="s">
        <v>365</v>
      </c>
      <c r="B249" s="48">
        <v>0.3</v>
      </c>
    </row>
    <row r="250" spans="1:2" ht="14.25" x14ac:dyDescent="0.2">
      <c r="A250" s="43" t="s">
        <v>366</v>
      </c>
      <c r="B250" s="48">
        <v>0.5</v>
      </c>
    </row>
    <row r="251" spans="1:2" ht="14.25" x14ac:dyDescent="0.2">
      <c r="A251" s="43" t="s">
        <v>367</v>
      </c>
      <c r="B251" s="48">
        <v>0.25</v>
      </c>
    </row>
    <row r="252" spans="1:2" ht="14.25" x14ac:dyDescent="0.2">
      <c r="A252" s="43" t="s">
        <v>368</v>
      </c>
      <c r="B252" s="48">
        <v>0.02</v>
      </c>
    </row>
    <row r="253" spans="1:2" ht="14.25" x14ac:dyDescent="0.2">
      <c r="A253" s="43" t="s">
        <v>369</v>
      </c>
      <c r="B253" s="48">
        <v>0.02</v>
      </c>
    </row>
    <row r="254" spans="1:2" ht="14.25" x14ac:dyDescent="0.2">
      <c r="A254" s="43" t="s">
        <v>370</v>
      </c>
      <c r="B254" s="48">
        <v>0.45</v>
      </c>
    </row>
    <row r="255" spans="1:2" ht="14.25" x14ac:dyDescent="0.2">
      <c r="A255" s="43" t="s">
        <v>371</v>
      </c>
      <c r="B255" s="48">
        <v>0.05</v>
      </c>
    </row>
    <row r="256" spans="1:2" ht="14.25" x14ac:dyDescent="0.2">
      <c r="A256" s="43" t="s">
        <v>372</v>
      </c>
      <c r="B256" s="48">
        <v>0.25</v>
      </c>
    </row>
    <row r="257" spans="1:2" ht="14.25" x14ac:dyDescent="0.2">
      <c r="A257" s="43" t="s">
        <v>373</v>
      </c>
      <c r="B257" s="48">
        <v>0</v>
      </c>
    </row>
    <row r="258" spans="1:2" ht="14.25" x14ac:dyDescent="0.2">
      <c r="A258" s="43" t="s">
        <v>374</v>
      </c>
      <c r="B258" s="48">
        <v>0.1</v>
      </c>
    </row>
    <row r="259" spans="1:2" ht="14.25" x14ac:dyDescent="0.2">
      <c r="A259" s="43" t="s">
        <v>375</v>
      </c>
      <c r="B259" s="48">
        <v>0.05</v>
      </c>
    </row>
    <row r="260" spans="1:2" ht="14.25" x14ac:dyDescent="0.2">
      <c r="A260" s="43" t="s">
        <v>376</v>
      </c>
      <c r="B260" s="48">
        <v>0.1</v>
      </c>
    </row>
    <row r="261" spans="1:2" ht="14.25" x14ac:dyDescent="0.2">
      <c r="A261" s="43" t="s">
        <v>377</v>
      </c>
      <c r="B261" s="48">
        <v>0.02</v>
      </c>
    </row>
    <row r="262" spans="1:2" ht="14.25" x14ac:dyDescent="0.2">
      <c r="A262" s="43" t="s">
        <v>378</v>
      </c>
      <c r="B262" s="48">
        <v>0.4</v>
      </c>
    </row>
    <row r="263" spans="1:2" ht="14.25" x14ac:dyDescent="0.2">
      <c r="A263" s="43" t="s">
        <v>379</v>
      </c>
      <c r="B263" s="48">
        <v>0.56000000000000005</v>
      </c>
    </row>
    <row r="264" spans="1:2" ht="14.25" x14ac:dyDescent="0.2">
      <c r="A264" s="43" t="s">
        <v>380</v>
      </c>
      <c r="B264" s="48">
        <v>0.06</v>
      </c>
    </row>
    <row r="265" spans="1:2" ht="14.25" x14ac:dyDescent="0.2">
      <c r="A265" s="43"/>
      <c r="B265" s="48"/>
    </row>
    <row r="266" spans="1:2" ht="14.25" x14ac:dyDescent="0.2">
      <c r="A266" s="43" t="s">
        <v>381</v>
      </c>
      <c r="B266" s="48">
        <v>0.16</v>
      </c>
    </row>
    <row r="267" spans="1:2" ht="14.25" x14ac:dyDescent="0.2">
      <c r="A267" s="43" t="s">
        <v>383</v>
      </c>
      <c r="B267" s="48">
        <v>0.27</v>
      </c>
    </row>
    <row r="268" spans="1:2" ht="14.25" x14ac:dyDescent="0.2">
      <c r="A268" s="43" t="s">
        <v>384</v>
      </c>
      <c r="B268" s="48">
        <v>0.21</v>
      </c>
    </row>
    <row r="269" spans="1:2" ht="14.25" x14ac:dyDescent="0.2">
      <c r="A269" s="49" t="s">
        <v>385</v>
      </c>
      <c r="B269" s="50">
        <v>0.02</v>
      </c>
    </row>
    <row r="270" spans="1:2" ht="14.25" x14ac:dyDescent="0.2">
      <c r="A270" s="49" t="s">
        <v>386</v>
      </c>
      <c r="B270" s="50">
        <v>0</v>
      </c>
    </row>
    <row r="271" spans="1:2" ht="14.25" x14ac:dyDescent="0.2">
      <c r="A271" s="49" t="s">
        <v>387</v>
      </c>
      <c r="B271" s="50">
        <v>0.35</v>
      </c>
    </row>
    <row r="272" spans="1:2" ht="14.25" x14ac:dyDescent="0.2">
      <c r="A272" s="49" t="s">
        <v>388</v>
      </c>
      <c r="B272" s="50">
        <v>0</v>
      </c>
    </row>
    <row r="273" spans="1:2" ht="14.25" x14ac:dyDescent="0.2">
      <c r="A273" s="49" t="s">
        <v>389</v>
      </c>
      <c r="B273" s="50">
        <v>0</v>
      </c>
    </row>
    <row r="274" spans="1:2" ht="14.25" x14ac:dyDescent="0.2">
      <c r="A274" s="49" t="s">
        <v>390</v>
      </c>
      <c r="B274" s="50">
        <v>0</v>
      </c>
    </row>
    <row r="275" spans="1:2" ht="14.25" x14ac:dyDescent="0.2">
      <c r="A275" s="49" t="s">
        <v>391</v>
      </c>
      <c r="B275" s="50">
        <v>0</v>
      </c>
    </row>
    <row r="276" spans="1:2" ht="14.25" x14ac:dyDescent="0.2">
      <c r="A276" s="49" t="s">
        <v>392</v>
      </c>
      <c r="B276" s="50">
        <v>0</v>
      </c>
    </row>
    <row r="277" spans="1:2" ht="14.25" x14ac:dyDescent="0.2">
      <c r="A277" s="49" t="s">
        <v>393</v>
      </c>
      <c r="B277" s="50">
        <v>0.02</v>
      </c>
    </row>
    <row r="278" spans="1:2" ht="14.25" x14ac:dyDescent="0.2">
      <c r="A278" s="49" t="s">
        <v>394</v>
      </c>
      <c r="B278" s="50">
        <v>0.37</v>
      </c>
    </row>
    <row r="279" spans="1:2" ht="14.25" x14ac:dyDescent="0.2">
      <c r="A279" s="49" t="s">
        <v>395</v>
      </c>
      <c r="B279" s="50">
        <v>0.28000000000000003</v>
      </c>
    </row>
    <row r="280" spans="1:2" ht="14.25" x14ac:dyDescent="0.2">
      <c r="A280" s="49" t="s">
        <v>396</v>
      </c>
      <c r="B280" s="50">
        <v>0.31</v>
      </c>
    </row>
    <row r="281" spans="1:2" ht="14.25" x14ac:dyDescent="0.2">
      <c r="A281" s="49" t="s">
        <v>397</v>
      </c>
      <c r="B281" s="50">
        <v>0.28000000000000003</v>
      </c>
    </row>
    <row r="282" spans="1:2" ht="12.75" x14ac:dyDescent="0.2">
      <c r="A282" s="51">
        <f>'Insumos '!A284</f>
        <v>0</v>
      </c>
      <c r="B282" s="51"/>
    </row>
    <row r="283" spans="1:2" ht="12.75" x14ac:dyDescent="0.2">
      <c r="A283" s="51">
        <f>'Insumos '!A285</f>
        <v>0</v>
      </c>
      <c r="B283" s="51"/>
    </row>
    <row r="284" spans="1:2" ht="12.75" x14ac:dyDescent="0.2">
      <c r="A284" s="51">
        <f>'Insumos '!A286</f>
        <v>0</v>
      </c>
      <c r="B284" s="51"/>
    </row>
    <row r="285" spans="1:2" ht="12.75" x14ac:dyDescent="0.2">
      <c r="A285" s="51">
        <f>'Insumos '!A287</f>
        <v>0</v>
      </c>
      <c r="B285" s="51"/>
    </row>
    <row r="286" spans="1:2" ht="12.75" x14ac:dyDescent="0.2">
      <c r="A286" s="51">
        <f>'Insumos '!A288</f>
        <v>0</v>
      </c>
      <c r="B286" s="51"/>
    </row>
    <row r="287" spans="1:2" ht="12.75" x14ac:dyDescent="0.2">
      <c r="A287" s="51">
        <f>'Insumos '!A289</f>
        <v>0</v>
      </c>
      <c r="B287" s="51"/>
    </row>
    <row r="288" spans="1:2" ht="12.75" x14ac:dyDescent="0.2">
      <c r="A288" s="51">
        <f>'Insumos '!A290</f>
        <v>0</v>
      </c>
      <c r="B288" s="51"/>
    </row>
    <row r="289" spans="1:2" ht="12.75" x14ac:dyDescent="0.2">
      <c r="A289" s="51">
        <f>'Insumos '!A291</f>
        <v>0</v>
      </c>
      <c r="B289" s="51"/>
    </row>
    <row r="290" spans="1:2" ht="12.75" x14ac:dyDescent="0.2">
      <c r="A290" s="51">
        <f>'Insumos '!A292</f>
        <v>0</v>
      </c>
      <c r="B290" s="51"/>
    </row>
    <row r="291" spans="1:2" ht="12.75" x14ac:dyDescent="0.2">
      <c r="A291" s="51">
        <f>'Insumos '!A293</f>
        <v>0</v>
      </c>
      <c r="B291" s="51"/>
    </row>
    <row r="292" spans="1:2" ht="12.75" x14ac:dyDescent="0.2">
      <c r="A292" s="51">
        <f>'Insumos '!A294</f>
        <v>0</v>
      </c>
      <c r="B292" s="51"/>
    </row>
    <row r="293" spans="1:2" ht="12.75" x14ac:dyDescent="0.2">
      <c r="A293" s="51">
        <f>'Insumos '!A295</f>
        <v>0</v>
      </c>
      <c r="B293" s="51"/>
    </row>
    <row r="294" spans="1:2" ht="12.75" x14ac:dyDescent="0.2">
      <c r="A294" s="51">
        <f>'Insumos '!A296</f>
        <v>0</v>
      </c>
      <c r="B294" s="51"/>
    </row>
    <row r="295" spans="1:2" ht="12.75" x14ac:dyDescent="0.2">
      <c r="A295" s="51">
        <f>'Insumos '!A297</f>
        <v>0</v>
      </c>
      <c r="B295" s="51"/>
    </row>
    <row r="296" spans="1:2" ht="12.75" x14ac:dyDescent="0.2">
      <c r="A296" s="51">
        <f>'Insumos '!A298</f>
        <v>0</v>
      </c>
      <c r="B296" s="51"/>
    </row>
    <row r="297" spans="1:2" ht="12.75" x14ac:dyDescent="0.2">
      <c r="A297" s="51">
        <f>'Insumos '!A299</f>
        <v>0</v>
      </c>
      <c r="B297" s="51"/>
    </row>
    <row r="298" spans="1:2" ht="12.75" x14ac:dyDescent="0.2">
      <c r="A298" s="51">
        <f>'Insumos '!A300</f>
        <v>0</v>
      </c>
      <c r="B298" s="51"/>
    </row>
    <row r="299" spans="1:2" ht="12.75" x14ac:dyDescent="0.2">
      <c r="A299" s="51">
        <f>'Insumos '!A301</f>
        <v>0</v>
      </c>
      <c r="B299" s="51"/>
    </row>
    <row r="300" spans="1:2" ht="12.75" x14ac:dyDescent="0.2">
      <c r="A300" s="51">
        <f>'Insumos '!A302</f>
        <v>0</v>
      </c>
      <c r="B300" s="51"/>
    </row>
    <row r="301" spans="1:2" ht="12.75" x14ac:dyDescent="0.2">
      <c r="A301" s="51">
        <f>'Insumos '!A303</f>
        <v>0</v>
      </c>
      <c r="B301" s="51"/>
    </row>
    <row r="302" spans="1:2" ht="12.75" x14ac:dyDescent="0.2">
      <c r="A302" s="51">
        <f>'Insumos '!A304</f>
        <v>0</v>
      </c>
      <c r="B302" s="51"/>
    </row>
    <row r="303" spans="1:2" ht="12.75" x14ac:dyDescent="0.2">
      <c r="A303" s="51">
        <f>'Insumos '!A305</f>
        <v>0</v>
      </c>
      <c r="B303" s="51"/>
    </row>
    <row r="304" spans="1:2" ht="12.75" x14ac:dyDescent="0.2">
      <c r="A304" s="51">
        <f>'Insumos '!A306</f>
        <v>0</v>
      </c>
      <c r="B304" s="51"/>
    </row>
    <row r="305" spans="1:2" ht="12.75" x14ac:dyDescent="0.2">
      <c r="A305" s="51">
        <f>'Insumos '!A307</f>
        <v>0</v>
      </c>
      <c r="B305" s="51"/>
    </row>
    <row r="306" spans="1:2" ht="12.75" x14ac:dyDescent="0.2">
      <c r="A306" s="51">
        <f>'Insumos '!A308</f>
        <v>0</v>
      </c>
      <c r="B306" s="51"/>
    </row>
    <row r="307" spans="1:2" ht="12.75" x14ac:dyDescent="0.2">
      <c r="A307" s="51">
        <f>'Insumos '!A309</f>
        <v>0</v>
      </c>
      <c r="B307" s="51"/>
    </row>
    <row r="308" spans="1:2" ht="12.75" x14ac:dyDescent="0.2">
      <c r="A308" s="51">
        <f>'Insumos '!A310</f>
        <v>0</v>
      </c>
      <c r="B308" s="51"/>
    </row>
    <row r="309" spans="1:2" ht="12.75" x14ac:dyDescent="0.2">
      <c r="A309" s="51">
        <f>'Insumos '!A311</f>
        <v>0</v>
      </c>
      <c r="B309" s="51"/>
    </row>
    <row r="310" spans="1:2" ht="12.75" x14ac:dyDescent="0.2">
      <c r="A310" s="51">
        <f>'Insumos '!A312</f>
        <v>0</v>
      </c>
      <c r="B310" s="51"/>
    </row>
    <row r="311" spans="1:2" ht="12.75" x14ac:dyDescent="0.2">
      <c r="A311" s="51">
        <f>'Insumos '!A313</f>
        <v>0</v>
      </c>
      <c r="B311" s="51"/>
    </row>
    <row r="312" spans="1:2" ht="14.25" x14ac:dyDescent="0.2">
      <c r="A312" s="49" t="s">
        <v>312</v>
      </c>
      <c r="B312" s="50">
        <v>0.05</v>
      </c>
    </row>
    <row r="313" spans="1:2" ht="14.25" x14ac:dyDescent="0.2">
      <c r="A313" s="49" t="s">
        <v>382</v>
      </c>
      <c r="B313" s="50">
        <v>0.05</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387"/>
  <sheetViews>
    <sheetView workbookViewId="0"/>
  </sheetViews>
  <sheetFormatPr baseColWidth="10" defaultColWidth="12.5703125" defaultRowHeight="15.75" customHeight="1" x14ac:dyDescent="0.2"/>
  <cols>
    <col min="1" max="1" width="13.7109375" customWidth="1"/>
    <col min="3" max="3" width="21" customWidth="1"/>
    <col min="4" max="5" width="13.42578125" customWidth="1"/>
    <col min="6" max="7" width="21.42578125" customWidth="1"/>
  </cols>
  <sheetData>
    <row r="1" spans="1:7" x14ac:dyDescent="0.2">
      <c r="A1" s="52" t="s">
        <v>89</v>
      </c>
      <c r="B1" s="52" t="s">
        <v>91</v>
      </c>
      <c r="C1" s="52" t="s">
        <v>443</v>
      </c>
      <c r="D1" s="52" t="s">
        <v>444</v>
      </c>
      <c r="E1" s="52" t="s">
        <v>445</v>
      </c>
      <c r="F1" s="52" t="s">
        <v>98</v>
      </c>
      <c r="G1" s="52" t="s">
        <v>446</v>
      </c>
    </row>
    <row r="2" spans="1:7" x14ac:dyDescent="0.2">
      <c r="A2" s="53"/>
      <c r="B2" s="51" t="str">
        <f t="shared" ref="B2:B65" si="0">IF(A2="", "", PROPER(TEXT(A2, "MMMM")))</f>
        <v/>
      </c>
      <c r="C2" s="54"/>
      <c r="D2" s="54"/>
      <c r="E2" s="55">
        <f>IFERROR(VLOOKUP(C2,'Insumos '!$A$2:$G$313,7,0),0)</f>
        <v>0</v>
      </c>
      <c r="F2" s="55">
        <f t="shared" ref="F2:F65" si="1">D2*E2</f>
        <v>0</v>
      </c>
      <c r="G2" s="54"/>
    </row>
    <row r="3" spans="1:7" x14ac:dyDescent="0.2">
      <c r="A3" s="54"/>
      <c r="B3" s="51" t="str">
        <f t="shared" si="0"/>
        <v/>
      </c>
      <c r="C3" s="54"/>
      <c r="D3" s="54"/>
      <c r="E3" s="55">
        <f>IFERROR(VLOOKUP(C3,'Insumos '!$A$2:$G$313,7,0),0)</f>
        <v>0</v>
      </c>
      <c r="F3" s="55">
        <f t="shared" si="1"/>
        <v>0</v>
      </c>
      <c r="G3" s="54"/>
    </row>
    <row r="4" spans="1:7" x14ac:dyDescent="0.2">
      <c r="A4" s="54"/>
      <c r="B4" s="51" t="str">
        <f t="shared" si="0"/>
        <v/>
      </c>
      <c r="C4" s="54"/>
      <c r="D4" s="54"/>
      <c r="E4" s="55">
        <f>IFERROR(VLOOKUP(C4,'Insumos '!$A$2:$G$313,7,0),0)</f>
        <v>0</v>
      </c>
      <c r="F4" s="55">
        <f t="shared" si="1"/>
        <v>0</v>
      </c>
      <c r="G4" s="54"/>
    </row>
    <row r="5" spans="1:7" x14ac:dyDescent="0.2">
      <c r="A5" s="54"/>
      <c r="B5" s="51" t="str">
        <f t="shared" si="0"/>
        <v/>
      </c>
      <c r="C5" s="54"/>
      <c r="D5" s="54"/>
      <c r="E5" s="55">
        <f>IFERROR(VLOOKUP(C5,'Insumos '!$A$2:$G$313,7,0),0)</f>
        <v>0</v>
      </c>
      <c r="F5" s="55">
        <f t="shared" si="1"/>
        <v>0</v>
      </c>
      <c r="G5" s="54"/>
    </row>
    <row r="6" spans="1:7" x14ac:dyDescent="0.2">
      <c r="A6" s="54"/>
      <c r="B6" s="51" t="str">
        <f t="shared" si="0"/>
        <v/>
      </c>
      <c r="C6" s="54"/>
      <c r="D6" s="54"/>
      <c r="E6" s="55">
        <f>IFERROR(VLOOKUP(C6,'Insumos '!$A$2:$G$313,7,0),0)</f>
        <v>0</v>
      </c>
      <c r="F6" s="55">
        <f t="shared" si="1"/>
        <v>0</v>
      </c>
      <c r="G6" s="54"/>
    </row>
    <row r="7" spans="1:7" x14ac:dyDescent="0.2">
      <c r="A7" s="54"/>
      <c r="B7" s="51" t="str">
        <f t="shared" si="0"/>
        <v/>
      </c>
      <c r="C7" s="54"/>
      <c r="D7" s="54"/>
      <c r="E7" s="55">
        <f>IFERROR(VLOOKUP(C7,'Insumos '!$A$2:$G$313,7,0),0)</f>
        <v>0</v>
      </c>
      <c r="F7" s="55">
        <f t="shared" si="1"/>
        <v>0</v>
      </c>
      <c r="G7" s="54"/>
    </row>
    <row r="8" spans="1:7" x14ac:dyDescent="0.2">
      <c r="A8" s="54"/>
      <c r="B8" s="51" t="str">
        <f t="shared" si="0"/>
        <v/>
      </c>
      <c r="C8" s="54"/>
      <c r="D8" s="54"/>
      <c r="E8" s="55">
        <f>IFERROR(VLOOKUP(C8,'Insumos '!$A$2:$G$313,7,0),0)</f>
        <v>0</v>
      </c>
      <c r="F8" s="55">
        <f t="shared" si="1"/>
        <v>0</v>
      </c>
      <c r="G8" s="54"/>
    </row>
    <row r="9" spans="1:7" x14ac:dyDescent="0.2">
      <c r="A9" s="54"/>
      <c r="B9" s="51" t="str">
        <f t="shared" si="0"/>
        <v/>
      </c>
      <c r="C9" s="54"/>
      <c r="D9" s="54"/>
      <c r="E9" s="55">
        <f>IFERROR(VLOOKUP(C9,'Insumos '!$A$2:$G$313,7,0),0)</f>
        <v>0</v>
      </c>
      <c r="F9" s="55">
        <f t="shared" si="1"/>
        <v>0</v>
      </c>
      <c r="G9" s="54"/>
    </row>
    <row r="10" spans="1:7" x14ac:dyDescent="0.2">
      <c r="A10" s="54"/>
      <c r="B10" s="51" t="str">
        <f t="shared" si="0"/>
        <v/>
      </c>
      <c r="C10" s="54"/>
      <c r="D10" s="54"/>
      <c r="E10" s="55">
        <f>IFERROR(VLOOKUP(C10,'Insumos '!$A$2:$G$313,7,0),0)</f>
        <v>0</v>
      </c>
      <c r="F10" s="55">
        <f t="shared" si="1"/>
        <v>0</v>
      </c>
      <c r="G10" s="54"/>
    </row>
    <row r="11" spans="1:7" x14ac:dyDescent="0.2">
      <c r="A11" s="54"/>
      <c r="B11" s="51" t="str">
        <f t="shared" si="0"/>
        <v/>
      </c>
      <c r="C11" s="54"/>
      <c r="D11" s="54"/>
      <c r="E11" s="55">
        <f>IFERROR(VLOOKUP(C11,'Insumos '!$A$2:$G$313,7,0),0)</f>
        <v>0</v>
      </c>
      <c r="F11" s="55">
        <f t="shared" si="1"/>
        <v>0</v>
      </c>
      <c r="G11" s="54"/>
    </row>
    <row r="12" spans="1:7" x14ac:dyDescent="0.2">
      <c r="A12" s="54"/>
      <c r="B12" s="51" t="str">
        <f t="shared" si="0"/>
        <v/>
      </c>
      <c r="C12" s="54"/>
      <c r="D12" s="54"/>
      <c r="E12" s="55">
        <f>IFERROR(VLOOKUP(C12,'Insumos '!$A$2:$G$313,7,0),0)</f>
        <v>0</v>
      </c>
      <c r="F12" s="55">
        <f t="shared" si="1"/>
        <v>0</v>
      </c>
      <c r="G12" s="54"/>
    </row>
    <row r="13" spans="1:7" x14ac:dyDescent="0.2">
      <c r="A13" s="54"/>
      <c r="B13" s="51" t="str">
        <f t="shared" si="0"/>
        <v/>
      </c>
      <c r="C13" s="54"/>
      <c r="D13" s="54"/>
      <c r="E13" s="55">
        <f>IFERROR(VLOOKUP(C13,'Insumos '!$A$2:$G$313,7,0),0)</f>
        <v>0</v>
      </c>
      <c r="F13" s="55">
        <f t="shared" si="1"/>
        <v>0</v>
      </c>
      <c r="G13" s="54"/>
    </row>
    <row r="14" spans="1:7" x14ac:dyDescent="0.2">
      <c r="A14" s="54"/>
      <c r="B14" s="51" t="str">
        <f t="shared" si="0"/>
        <v/>
      </c>
      <c r="C14" s="54"/>
      <c r="D14" s="54"/>
      <c r="E14" s="55">
        <f>IFERROR(VLOOKUP(C14,'Insumos '!$A$2:$G$313,7,0),0)</f>
        <v>0</v>
      </c>
      <c r="F14" s="55">
        <f t="shared" si="1"/>
        <v>0</v>
      </c>
      <c r="G14" s="54"/>
    </row>
    <row r="15" spans="1:7" x14ac:dyDescent="0.2">
      <c r="A15" s="54"/>
      <c r="B15" s="51" t="str">
        <f t="shared" si="0"/>
        <v/>
      </c>
      <c r="C15" s="54"/>
      <c r="D15" s="54"/>
      <c r="E15" s="55">
        <f>IFERROR(VLOOKUP(C15,'Insumos '!$A$2:$G$313,7,0),0)</f>
        <v>0</v>
      </c>
      <c r="F15" s="55">
        <f t="shared" si="1"/>
        <v>0</v>
      </c>
      <c r="G15" s="54"/>
    </row>
    <row r="16" spans="1:7" x14ac:dyDescent="0.2">
      <c r="A16" s="54"/>
      <c r="B16" s="51" t="str">
        <f t="shared" si="0"/>
        <v/>
      </c>
      <c r="C16" s="54"/>
      <c r="D16" s="54"/>
      <c r="E16" s="55">
        <f>IFERROR(VLOOKUP(C16,'Insumos '!$A$2:$G$313,7,0),0)</f>
        <v>0</v>
      </c>
      <c r="F16" s="55">
        <f t="shared" si="1"/>
        <v>0</v>
      </c>
      <c r="G16" s="54"/>
    </row>
    <row r="17" spans="1:7" x14ac:dyDescent="0.2">
      <c r="A17" s="54"/>
      <c r="B17" s="51" t="str">
        <f t="shared" si="0"/>
        <v/>
      </c>
      <c r="C17" s="54"/>
      <c r="D17" s="54"/>
      <c r="E17" s="55">
        <f>IFERROR(VLOOKUP(C17,'Insumos '!$A$2:$G$313,7,0),0)</f>
        <v>0</v>
      </c>
      <c r="F17" s="55">
        <f t="shared" si="1"/>
        <v>0</v>
      </c>
      <c r="G17" s="54"/>
    </row>
    <row r="18" spans="1:7" x14ac:dyDescent="0.2">
      <c r="A18" s="54"/>
      <c r="B18" s="51" t="str">
        <f t="shared" si="0"/>
        <v/>
      </c>
      <c r="C18" s="54"/>
      <c r="D18" s="54"/>
      <c r="E18" s="55">
        <f>IFERROR(VLOOKUP(C18,'Insumos '!$A$2:$G$313,7,0),0)</f>
        <v>0</v>
      </c>
      <c r="F18" s="55">
        <f t="shared" si="1"/>
        <v>0</v>
      </c>
      <c r="G18" s="54"/>
    </row>
    <row r="19" spans="1:7" x14ac:dyDescent="0.2">
      <c r="A19" s="54"/>
      <c r="B19" s="51" t="str">
        <f t="shared" si="0"/>
        <v/>
      </c>
      <c r="C19" s="54"/>
      <c r="D19" s="54"/>
      <c r="E19" s="55">
        <f>IFERROR(VLOOKUP(C19,'Insumos '!$A$2:$G$313,7,0),0)</f>
        <v>0</v>
      </c>
      <c r="F19" s="55">
        <f t="shared" si="1"/>
        <v>0</v>
      </c>
      <c r="G19" s="54"/>
    </row>
    <row r="20" spans="1:7" x14ac:dyDescent="0.2">
      <c r="A20" s="54"/>
      <c r="B20" s="51" t="str">
        <f t="shared" si="0"/>
        <v/>
      </c>
      <c r="C20" s="54"/>
      <c r="D20" s="54"/>
      <c r="E20" s="55">
        <f>IFERROR(VLOOKUP(C20,'Insumos '!$A$2:$G$313,7,0),0)</f>
        <v>0</v>
      </c>
      <c r="F20" s="55">
        <f t="shared" si="1"/>
        <v>0</v>
      </c>
      <c r="G20" s="54"/>
    </row>
    <row r="21" spans="1:7" x14ac:dyDescent="0.2">
      <c r="A21" s="54"/>
      <c r="B21" s="51" t="str">
        <f t="shared" si="0"/>
        <v/>
      </c>
      <c r="C21" s="54"/>
      <c r="D21" s="54"/>
      <c r="E21" s="55">
        <f>IFERROR(VLOOKUP(C21,'Insumos '!$A$2:$G$313,7,0),0)</f>
        <v>0</v>
      </c>
      <c r="F21" s="55">
        <f t="shared" si="1"/>
        <v>0</v>
      </c>
      <c r="G21" s="54"/>
    </row>
    <row r="22" spans="1:7" x14ac:dyDescent="0.2">
      <c r="A22" s="54"/>
      <c r="B22" s="51" t="str">
        <f t="shared" si="0"/>
        <v/>
      </c>
      <c r="C22" s="54"/>
      <c r="D22" s="54"/>
      <c r="E22" s="55">
        <f>IFERROR(VLOOKUP(C22,'Insumos '!$A$2:$G$313,7,0),0)</f>
        <v>0</v>
      </c>
      <c r="F22" s="55">
        <f t="shared" si="1"/>
        <v>0</v>
      </c>
      <c r="G22" s="54"/>
    </row>
    <row r="23" spans="1:7" x14ac:dyDescent="0.2">
      <c r="A23" s="54"/>
      <c r="B23" s="51" t="str">
        <f t="shared" si="0"/>
        <v/>
      </c>
      <c r="C23" s="54"/>
      <c r="D23" s="54"/>
      <c r="E23" s="55">
        <f>IFERROR(VLOOKUP(C23,'Insumos '!$A$2:$G$313,7,0),0)</f>
        <v>0</v>
      </c>
      <c r="F23" s="55">
        <f t="shared" si="1"/>
        <v>0</v>
      </c>
      <c r="G23" s="54"/>
    </row>
    <row r="24" spans="1:7" x14ac:dyDescent="0.2">
      <c r="A24" s="54"/>
      <c r="B24" s="51" t="str">
        <f t="shared" si="0"/>
        <v/>
      </c>
      <c r="C24" s="54"/>
      <c r="D24" s="54"/>
      <c r="E24" s="55">
        <f>IFERROR(VLOOKUP(C24,'Insumos '!$A$2:$G$313,7,0),0)</f>
        <v>0</v>
      </c>
      <c r="F24" s="55">
        <f t="shared" si="1"/>
        <v>0</v>
      </c>
      <c r="G24" s="54"/>
    </row>
    <row r="25" spans="1:7" x14ac:dyDescent="0.2">
      <c r="A25" s="54"/>
      <c r="B25" s="51" t="str">
        <f t="shared" si="0"/>
        <v/>
      </c>
      <c r="C25" s="54"/>
      <c r="D25" s="54"/>
      <c r="E25" s="55">
        <f>IFERROR(VLOOKUP(C25,'Insumos '!$A$2:$G$313,7,0),0)</f>
        <v>0</v>
      </c>
      <c r="F25" s="55">
        <f t="shared" si="1"/>
        <v>0</v>
      </c>
      <c r="G25" s="54"/>
    </row>
    <row r="26" spans="1:7" x14ac:dyDescent="0.2">
      <c r="A26" s="54"/>
      <c r="B26" s="51" t="str">
        <f t="shared" si="0"/>
        <v/>
      </c>
      <c r="C26" s="54"/>
      <c r="D26" s="54"/>
      <c r="E26" s="55">
        <f>IFERROR(VLOOKUP(C26,'Insumos '!$A$2:$G$313,7,0),0)</f>
        <v>0</v>
      </c>
      <c r="F26" s="55">
        <f t="shared" si="1"/>
        <v>0</v>
      </c>
      <c r="G26" s="54"/>
    </row>
    <row r="27" spans="1:7" x14ac:dyDescent="0.2">
      <c r="A27" s="54"/>
      <c r="B27" s="51" t="str">
        <f t="shared" si="0"/>
        <v/>
      </c>
      <c r="C27" s="54"/>
      <c r="D27" s="54"/>
      <c r="E27" s="55">
        <f>IFERROR(VLOOKUP(C27,'Insumos '!$A$2:$G$313,7,0),0)</f>
        <v>0</v>
      </c>
      <c r="F27" s="55">
        <f t="shared" si="1"/>
        <v>0</v>
      </c>
      <c r="G27" s="54"/>
    </row>
    <row r="28" spans="1:7" x14ac:dyDescent="0.2">
      <c r="A28" s="54"/>
      <c r="B28" s="51" t="str">
        <f t="shared" si="0"/>
        <v/>
      </c>
      <c r="C28" s="54"/>
      <c r="D28" s="54"/>
      <c r="E28" s="55">
        <f>IFERROR(VLOOKUP(C28,'Insumos '!$A$2:$G$313,7,0),0)</f>
        <v>0</v>
      </c>
      <c r="F28" s="55">
        <f t="shared" si="1"/>
        <v>0</v>
      </c>
      <c r="G28" s="54"/>
    </row>
    <row r="29" spans="1:7" x14ac:dyDescent="0.2">
      <c r="A29" s="54"/>
      <c r="B29" s="51" t="str">
        <f t="shared" si="0"/>
        <v/>
      </c>
      <c r="C29" s="54"/>
      <c r="D29" s="54"/>
      <c r="E29" s="55">
        <f>IFERROR(VLOOKUP(C29,'Insumos '!$A$2:$G$313,7,0),0)</f>
        <v>0</v>
      </c>
      <c r="F29" s="55">
        <f t="shared" si="1"/>
        <v>0</v>
      </c>
      <c r="G29" s="54"/>
    </row>
    <row r="30" spans="1:7" x14ac:dyDescent="0.2">
      <c r="A30" s="54"/>
      <c r="B30" s="51" t="str">
        <f t="shared" si="0"/>
        <v/>
      </c>
      <c r="C30" s="54"/>
      <c r="D30" s="54"/>
      <c r="E30" s="55">
        <f>IFERROR(VLOOKUP(C30,'Insumos '!$A$2:$G$313,7,0),0)</f>
        <v>0</v>
      </c>
      <c r="F30" s="55">
        <f t="shared" si="1"/>
        <v>0</v>
      </c>
      <c r="G30" s="54"/>
    </row>
    <row r="31" spans="1:7" x14ac:dyDescent="0.2">
      <c r="A31" s="54"/>
      <c r="B31" s="51" t="str">
        <f t="shared" si="0"/>
        <v/>
      </c>
      <c r="C31" s="54"/>
      <c r="D31" s="54"/>
      <c r="E31" s="55">
        <f>IFERROR(VLOOKUP(C31,'Insumos '!$A$2:$G$313,7,0),0)</f>
        <v>0</v>
      </c>
      <c r="F31" s="55">
        <f t="shared" si="1"/>
        <v>0</v>
      </c>
      <c r="G31" s="54"/>
    </row>
    <row r="32" spans="1:7" x14ac:dyDescent="0.2">
      <c r="A32" s="54"/>
      <c r="B32" s="51" t="str">
        <f t="shared" si="0"/>
        <v/>
      </c>
      <c r="C32" s="54"/>
      <c r="D32" s="54"/>
      <c r="E32" s="55">
        <f>IFERROR(VLOOKUP(C32,'Insumos '!$A$2:$G$313,7,0),0)</f>
        <v>0</v>
      </c>
      <c r="F32" s="55">
        <f t="shared" si="1"/>
        <v>0</v>
      </c>
      <c r="G32" s="54"/>
    </row>
    <row r="33" spans="1:7" x14ac:dyDescent="0.2">
      <c r="A33" s="54"/>
      <c r="B33" s="51" t="str">
        <f t="shared" si="0"/>
        <v/>
      </c>
      <c r="C33" s="54"/>
      <c r="D33" s="54"/>
      <c r="E33" s="55">
        <f>IFERROR(VLOOKUP(C33,'Insumos '!$A$2:$G$313,7,0),0)</f>
        <v>0</v>
      </c>
      <c r="F33" s="55">
        <f t="shared" si="1"/>
        <v>0</v>
      </c>
      <c r="G33" s="54"/>
    </row>
    <row r="34" spans="1:7" x14ac:dyDescent="0.2">
      <c r="A34" s="54"/>
      <c r="B34" s="51" t="str">
        <f t="shared" si="0"/>
        <v/>
      </c>
      <c r="C34" s="54"/>
      <c r="D34" s="54"/>
      <c r="E34" s="55">
        <f>IFERROR(VLOOKUP(C34,'Insumos '!$A$2:$G$313,7,0),0)</f>
        <v>0</v>
      </c>
      <c r="F34" s="55">
        <f t="shared" si="1"/>
        <v>0</v>
      </c>
      <c r="G34" s="54"/>
    </row>
    <row r="35" spans="1:7" x14ac:dyDescent="0.2">
      <c r="A35" s="54"/>
      <c r="B35" s="51" t="str">
        <f t="shared" si="0"/>
        <v/>
      </c>
      <c r="C35" s="54"/>
      <c r="D35" s="54"/>
      <c r="E35" s="55">
        <f>IFERROR(VLOOKUP(C35,'Insumos '!$A$2:$G$313,7,0),0)</f>
        <v>0</v>
      </c>
      <c r="F35" s="55">
        <f t="shared" si="1"/>
        <v>0</v>
      </c>
      <c r="G35" s="54"/>
    </row>
    <row r="36" spans="1:7" x14ac:dyDescent="0.2">
      <c r="A36" s="54"/>
      <c r="B36" s="51" t="str">
        <f t="shared" si="0"/>
        <v/>
      </c>
      <c r="C36" s="54"/>
      <c r="D36" s="54"/>
      <c r="E36" s="55">
        <f>IFERROR(VLOOKUP(C36,'Insumos '!$A$2:$G$313,7,0),0)</f>
        <v>0</v>
      </c>
      <c r="F36" s="55">
        <f t="shared" si="1"/>
        <v>0</v>
      </c>
      <c r="G36" s="54"/>
    </row>
    <row r="37" spans="1:7" x14ac:dyDescent="0.2">
      <c r="A37" s="54"/>
      <c r="B37" s="51" t="str">
        <f t="shared" si="0"/>
        <v/>
      </c>
      <c r="C37" s="54"/>
      <c r="D37" s="54"/>
      <c r="E37" s="55">
        <f>IFERROR(VLOOKUP(C37,'Insumos '!$A$2:$G$313,7,0),0)</f>
        <v>0</v>
      </c>
      <c r="F37" s="55">
        <f t="shared" si="1"/>
        <v>0</v>
      </c>
      <c r="G37" s="54"/>
    </row>
    <row r="38" spans="1:7" x14ac:dyDescent="0.2">
      <c r="A38" s="54"/>
      <c r="B38" s="51" t="str">
        <f t="shared" si="0"/>
        <v/>
      </c>
      <c r="C38" s="54"/>
      <c r="D38" s="54"/>
      <c r="E38" s="55">
        <f>IFERROR(VLOOKUP(C38,'Insumos '!$A$2:$G$313,7,0),0)</f>
        <v>0</v>
      </c>
      <c r="F38" s="55">
        <f t="shared" si="1"/>
        <v>0</v>
      </c>
      <c r="G38" s="54"/>
    </row>
    <row r="39" spans="1:7" x14ac:dyDescent="0.2">
      <c r="A39" s="54"/>
      <c r="B39" s="51" t="str">
        <f t="shared" si="0"/>
        <v/>
      </c>
      <c r="C39" s="54"/>
      <c r="D39" s="54"/>
      <c r="E39" s="55">
        <f>IFERROR(VLOOKUP(C39,'Insumos '!$A$2:$G$313,7,0),0)</f>
        <v>0</v>
      </c>
      <c r="F39" s="55">
        <f t="shared" si="1"/>
        <v>0</v>
      </c>
      <c r="G39" s="54"/>
    </row>
    <row r="40" spans="1:7" x14ac:dyDescent="0.2">
      <c r="A40" s="54"/>
      <c r="B40" s="51" t="str">
        <f t="shared" si="0"/>
        <v/>
      </c>
      <c r="C40" s="54"/>
      <c r="D40" s="54"/>
      <c r="E40" s="55">
        <f>IFERROR(VLOOKUP(C40,'Insumos '!$A$2:$G$313,7,0),0)</f>
        <v>0</v>
      </c>
      <c r="F40" s="55">
        <f t="shared" si="1"/>
        <v>0</v>
      </c>
      <c r="G40" s="54"/>
    </row>
    <row r="41" spans="1:7" x14ac:dyDescent="0.2">
      <c r="A41" s="54"/>
      <c r="B41" s="51" t="str">
        <f t="shared" si="0"/>
        <v/>
      </c>
      <c r="C41" s="54"/>
      <c r="D41" s="54"/>
      <c r="E41" s="55">
        <f>IFERROR(VLOOKUP(C41,'Insumos '!$A$2:$G$313,7,0),0)</f>
        <v>0</v>
      </c>
      <c r="F41" s="55">
        <f t="shared" si="1"/>
        <v>0</v>
      </c>
      <c r="G41" s="54"/>
    </row>
    <row r="42" spans="1:7" x14ac:dyDescent="0.2">
      <c r="A42" s="54"/>
      <c r="B42" s="51" t="str">
        <f t="shared" si="0"/>
        <v/>
      </c>
      <c r="C42" s="54"/>
      <c r="D42" s="54"/>
      <c r="E42" s="55">
        <f>IFERROR(VLOOKUP(C42,'Insumos '!$A$2:$G$313,7,0),0)</f>
        <v>0</v>
      </c>
      <c r="F42" s="55">
        <f t="shared" si="1"/>
        <v>0</v>
      </c>
      <c r="G42" s="54"/>
    </row>
    <row r="43" spans="1:7" x14ac:dyDescent="0.2">
      <c r="A43" s="54"/>
      <c r="B43" s="51" t="str">
        <f t="shared" si="0"/>
        <v/>
      </c>
      <c r="C43" s="54"/>
      <c r="D43" s="54"/>
      <c r="E43" s="55">
        <f>IFERROR(VLOOKUP(C43,'Insumos '!$A$2:$G$313,7,0),0)</f>
        <v>0</v>
      </c>
      <c r="F43" s="55">
        <f t="shared" si="1"/>
        <v>0</v>
      </c>
      <c r="G43" s="54"/>
    </row>
    <row r="44" spans="1:7" x14ac:dyDescent="0.2">
      <c r="A44" s="54"/>
      <c r="B44" s="51" t="str">
        <f t="shared" si="0"/>
        <v/>
      </c>
      <c r="C44" s="54"/>
      <c r="D44" s="54"/>
      <c r="E44" s="55">
        <f>IFERROR(VLOOKUP(C44,'Insumos '!$A$2:$G$313,7,0),0)</f>
        <v>0</v>
      </c>
      <c r="F44" s="55">
        <f t="shared" si="1"/>
        <v>0</v>
      </c>
      <c r="G44" s="54"/>
    </row>
    <row r="45" spans="1:7" x14ac:dyDescent="0.2">
      <c r="A45" s="54"/>
      <c r="B45" s="51" t="str">
        <f t="shared" si="0"/>
        <v/>
      </c>
      <c r="C45" s="54"/>
      <c r="D45" s="54"/>
      <c r="E45" s="55">
        <f>IFERROR(VLOOKUP(C45,'Insumos '!$A$2:$G$313,7,0),0)</f>
        <v>0</v>
      </c>
      <c r="F45" s="55">
        <f t="shared" si="1"/>
        <v>0</v>
      </c>
      <c r="G45" s="54"/>
    </row>
    <row r="46" spans="1:7" x14ac:dyDescent="0.2">
      <c r="A46" s="54"/>
      <c r="B46" s="51" t="str">
        <f t="shared" si="0"/>
        <v/>
      </c>
      <c r="C46" s="54"/>
      <c r="D46" s="54"/>
      <c r="E46" s="55">
        <f>IFERROR(VLOOKUP(C46,'Insumos '!$A$2:$G$313,7,0),0)</f>
        <v>0</v>
      </c>
      <c r="F46" s="55">
        <f t="shared" si="1"/>
        <v>0</v>
      </c>
      <c r="G46" s="54"/>
    </row>
    <row r="47" spans="1:7" x14ac:dyDescent="0.2">
      <c r="A47" s="54"/>
      <c r="B47" s="51" t="str">
        <f t="shared" si="0"/>
        <v/>
      </c>
      <c r="C47" s="54"/>
      <c r="D47" s="54"/>
      <c r="E47" s="55">
        <f>IFERROR(VLOOKUP(C47,'Insumos '!$A$2:$G$313,7,0),0)</f>
        <v>0</v>
      </c>
      <c r="F47" s="55">
        <f t="shared" si="1"/>
        <v>0</v>
      </c>
      <c r="G47" s="54"/>
    </row>
    <row r="48" spans="1:7" x14ac:dyDescent="0.2">
      <c r="A48" s="54"/>
      <c r="B48" s="51" t="str">
        <f t="shared" si="0"/>
        <v/>
      </c>
      <c r="C48" s="54"/>
      <c r="D48" s="54"/>
      <c r="E48" s="55">
        <f>IFERROR(VLOOKUP(C48,'Insumos '!$A$2:$G$313,7,0),0)</f>
        <v>0</v>
      </c>
      <c r="F48" s="55">
        <f t="shared" si="1"/>
        <v>0</v>
      </c>
      <c r="G48" s="54"/>
    </row>
    <row r="49" spans="1:7" x14ac:dyDescent="0.2">
      <c r="A49" s="54"/>
      <c r="B49" s="51" t="str">
        <f t="shared" si="0"/>
        <v/>
      </c>
      <c r="C49" s="54"/>
      <c r="D49" s="54"/>
      <c r="E49" s="55">
        <f>IFERROR(VLOOKUP(C49,'Insumos '!$A$2:$G$313,7,0),0)</f>
        <v>0</v>
      </c>
      <c r="F49" s="55">
        <f t="shared" si="1"/>
        <v>0</v>
      </c>
      <c r="G49" s="54"/>
    </row>
    <row r="50" spans="1:7" x14ac:dyDescent="0.2">
      <c r="A50" s="54"/>
      <c r="B50" s="51" t="str">
        <f t="shared" si="0"/>
        <v/>
      </c>
      <c r="C50" s="54"/>
      <c r="D50" s="54"/>
      <c r="E50" s="55">
        <f>IFERROR(VLOOKUP(C50,'Insumos '!$A$2:$G$313,7,0),0)</f>
        <v>0</v>
      </c>
      <c r="F50" s="55">
        <f t="shared" si="1"/>
        <v>0</v>
      </c>
      <c r="G50" s="54"/>
    </row>
    <row r="51" spans="1:7" x14ac:dyDescent="0.2">
      <c r="A51" s="54"/>
      <c r="B51" s="51" t="str">
        <f t="shared" si="0"/>
        <v/>
      </c>
      <c r="C51" s="54"/>
      <c r="D51" s="54"/>
      <c r="E51" s="55">
        <f>IFERROR(VLOOKUP(C51,'Insumos '!$A$2:$G$313,7,0),0)</f>
        <v>0</v>
      </c>
      <c r="F51" s="55">
        <f t="shared" si="1"/>
        <v>0</v>
      </c>
      <c r="G51" s="54"/>
    </row>
    <row r="52" spans="1:7" x14ac:dyDescent="0.2">
      <c r="A52" s="54"/>
      <c r="B52" s="51" t="str">
        <f t="shared" si="0"/>
        <v/>
      </c>
      <c r="C52" s="54"/>
      <c r="D52" s="54"/>
      <c r="E52" s="55">
        <f>IFERROR(VLOOKUP(C52,'Insumos '!$A$2:$G$313,7,0),0)</f>
        <v>0</v>
      </c>
      <c r="F52" s="55">
        <f t="shared" si="1"/>
        <v>0</v>
      </c>
      <c r="G52" s="54"/>
    </row>
    <row r="53" spans="1:7" x14ac:dyDescent="0.2">
      <c r="A53" s="54"/>
      <c r="B53" s="51" t="str">
        <f t="shared" si="0"/>
        <v/>
      </c>
      <c r="C53" s="54"/>
      <c r="D53" s="54"/>
      <c r="E53" s="55">
        <f>IFERROR(VLOOKUP(C53,'Insumos '!$A$2:$G$313,7,0),0)</f>
        <v>0</v>
      </c>
      <c r="F53" s="55">
        <f t="shared" si="1"/>
        <v>0</v>
      </c>
      <c r="G53" s="54"/>
    </row>
    <row r="54" spans="1:7" x14ac:dyDescent="0.2">
      <c r="A54" s="54"/>
      <c r="B54" s="51" t="str">
        <f t="shared" si="0"/>
        <v/>
      </c>
      <c r="C54" s="54"/>
      <c r="D54" s="54"/>
      <c r="E54" s="55">
        <f>IFERROR(VLOOKUP(C54,'Insumos '!$A$2:$G$313,7,0),0)</f>
        <v>0</v>
      </c>
      <c r="F54" s="55">
        <f t="shared" si="1"/>
        <v>0</v>
      </c>
      <c r="G54" s="54"/>
    </row>
    <row r="55" spans="1:7" x14ac:dyDescent="0.2">
      <c r="A55" s="54"/>
      <c r="B55" s="51" t="str">
        <f t="shared" si="0"/>
        <v/>
      </c>
      <c r="C55" s="54"/>
      <c r="D55" s="54"/>
      <c r="E55" s="55">
        <f>IFERROR(VLOOKUP(C55,'Insumos '!$A$2:$G$313,7,0),0)</f>
        <v>0</v>
      </c>
      <c r="F55" s="55">
        <f t="shared" si="1"/>
        <v>0</v>
      </c>
      <c r="G55" s="54"/>
    </row>
    <row r="56" spans="1:7" x14ac:dyDescent="0.2">
      <c r="A56" s="54"/>
      <c r="B56" s="51" t="str">
        <f t="shared" si="0"/>
        <v/>
      </c>
      <c r="C56" s="54"/>
      <c r="D56" s="54"/>
      <c r="E56" s="55">
        <f>IFERROR(VLOOKUP(C56,'Insumos '!$A$2:$G$313,7,0),0)</f>
        <v>0</v>
      </c>
      <c r="F56" s="55">
        <f t="shared" si="1"/>
        <v>0</v>
      </c>
      <c r="G56" s="54"/>
    </row>
    <row r="57" spans="1:7" x14ac:dyDescent="0.2">
      <c r="A57" s="54"/>
      <c r="B57" s="51" t="str">
        <f t="shared" si="0"/>
        <v/>
      </c>
      <c r="C57" s="54"/>
      <c r="D57" s="54"/>
      <c r="E57" s="55">
        <f>IFERROR(VLOOKUP(C57,'Insumos '!$A$2:$G$313,7,0),0)</f>
        <v>0</v>
      </c>
      <c r="F57" s="55">
        <f t="shared" si="1"/>
        <v>0</v>
      </c>
      <c r="G57" s="54"/>
    </row>
    <row r="58" spans="1:7" x14ac:dyDescent="0.2">
      <c r="A58" s="54"/>
      <c r="B58" s="51" t="str">
        <f t="shared" si="0"/>
        <v/>
      </c>
      <c r="C58" s="54"/>
      <c r="D58" s="54"/>
      <c r="E58" s="55">
        <f>IFERROR(VLOOKUP(C58,'Insumos '!$A$2:$G$313,7,0),0)</f>
        <v>0</v>
      </c>
      <c r="F58" s="55">
        <f t="shared" si="1"/>
        <v>0</v>
      </c>
      <c r="G58" s="54"/>
    </row>
    <row r="59" spans="1:7" x14ac:dyDescent="0.2">
      <c r="A59" s="54"/>
      <c r="B59" s="51" t="str">
        <f t="shared" si="0"/>
        <v/>
      </c>
      <c r="C59" s="54"/>
      <c r="D59" s="54"/>
      <c r="E59" s="55">
        <f>IFERROR(VLOOKUP(C59,'Insumos '!$A$2:$G$313,7,0),0)</f>
        <v>0</v>
      </c>
      <c r="F59" s="55">
        <f t="shared" si="1"/>
        <v>0</v>
      </c>
      <c r="G59" s="54"/>
    </row>
    <row r="60" spans="1:7" x14ac:dyDescent="0.2">
      <c r="A60" s="54"/>
      <c r="B60" s="51" t="str">
        <f t="shared" si="0"/>
        <v/>
      </c>
      <c r="C60" s="54"/>
      <c r="D60" s="54"/>
      <c r="E60" s="55">
        <f>IFERROR(VLOOKUP(C60,'Insumos '!$A$2:$G$313,7,0),0)</f>
        <v>0</v>
      </c>
      <c r="F60" s="55">
        <f t="shared" si="1"/>
        <v>0</v>
      </c>
      <c r="G60" s="54"/>
    </row>
    <row r="61" spans="1:7" x14ac:dyDescent="0.2">
      <c r="A61" s="54"/>
      <c r="B61" s="51" t="str">
        <f t="shared" si="0"/>
        <v/>
      </c>
      <c r="C61" s="54"/>
      <c r="D61" s="54"/>
      <c r="E61" s="55">
        <f>IFERROR(VLOOKUP(C61,'Insumos '!$A$2:$G$313,7,0),0)</f>
        <v>0</v>
      </c>
      <c r="F61" s="55">
        <f t="shared" si="1"/>
        <v>0</v>
      </c>
      <c r="G61" s="54"/>
    </row>
    <row r="62" spans="1:7" x14ac:dyDescent="0.2">
      <c r="A62" s="54"/>
      <c r="B62" s="51" t="str">
        <f t="shared" si="0"/>
        <v/>
      </c>
      <c r="C62" s="54"/>
      <c r="D62" s="54"/>
      <c r="E62" s="55">
        <f>IFERROR(VLOOKUP(C62,'Insumos '!$A$2:$G$313,7,0),0)</f>
        <v>0</v>
      </c>
      <c r="F62" s="55">
        <f t="shared" si="1"/>
        <v>0</v>
      </c>
      <c r="G62" s="54"/>
    </row>
    <row r="63" spans="1:7" x14ac:dyDescent="0.2">
      <c r="A63" s="54"/>
      <c r="B63" s="51" t="str">
        <f t="shared" si="0"/>
        <v/>
      </c>
      <c r="C63" s="54"/>
      <c r="D63" s="54"/>
      <c r="E63" s="55">
        <f>IFERROR(VLOOKUP(C63,'Insumos '!$A$2:$G$313,7,0),0)</f>
        <v>0</v>
      </c>
      <c r="F63" s="55">
        <f t="shared" si="1"/>
        <v>0</v>
      </c>
      <c r="G63" s="54"/>
    </row>
    <row r="64" spans="1:7" x14ac:dyDescent="0.2">
      <c r="A64" s="54"/>
      <c r="B64" s="51" t="str">
        <f t="shared" si="0"/>
        <v/>
      </c>
      <c r="C64" s="54"/>
      <c r="D64" s="54"/>
      <c r="E64" s="55">
        <f>IFERROR(VLOOKUP(C64,'Insumos '!$A$2:$G$313,7,0),0)</f>
        <v>0</v>
      </c>
      <c r="F64" s="55">
        <f t="shared" si="1"/>
        <v>0</v>
      </c>
      <c r="G64" s="54"/>
    </row>
    <row r="65" spans="1:7" x14ac:dyDescent="0.2">
      <c r="A65" s="54"/>
      <c r="B65" s="51" t="str">
        <f t="shared" si="0"/>
        <v/>
      </c>
      <c r="C65" s="54"/>
      <c r="D65" s="54"/>
      <c r="E65" s="55">
        <f>IFERROR(VLOOKUP(C65,'Insumos '!$A$2:$G$313,7,0),0)</f>
        <v>0</v>
      </c>
      <c r="F65" s="55">
        <f t="shared" si="1"/>
        <v>0</v>
      </c>
      <c r="G65" s="54"/>
    </row>
    <row r="66" spans="1:7" x14ac:dyDescent="0.2">
      <c r="A66" s="54"/>
      <c r="B66" s="51" t="str">
        <f t="shared" ref="B66:B129" si="2">IF(A66="", "", PROPER(TEXT(A66, "MMMM")))</f>
        <v/>
      </c>
      <c r="C66" s="54"/>
      <c r="D66" s="54"/>
      <c r="E66" s="55">
        <f>IFERROR(VLOOKUP(C66,'Insumos '!$A$2:$G$313,7,0),0)</f>
        <v>0</v>
      </c>
      <c r="F66" s="55">
        <f t="shared" ref="F66:F129" si="3">D66*E66</f>
        <v>0</v>
      </c>
      <c r="G66" s="54"/>
    </row>
    <row r="67" spans="1:7" x14ac:dyDescent="0.2">
      <c r="A67" s="54"/>
      <c r="B67" s="51" t="str">
        <f t="shared" si="2"/>
        <v/>
      </c>
      <c r="C67" s="54"/>
      <c r="D67" s="54"/>
      <c r="E67" s="55">
        <f>IFERROR(VLOOKUP(C67,'Insumos '!$A$2:$G$313,7,0),0)</f>
        <v>0</v>
      </c>
      <c r="F67" s="55">
        <f t="shared" si="3"/>
        <v>0</v>
      </c>
      <c r="G67" s="54"/>
    </row>
    <row r="68" spans="1:7" x14ac:dyDescent="0.2">
      <c r="A68" s="54"/>
      <c r="B68" s="51" t="str">
        <f t="shared" si="2"/>
        <v/>
      </c>
      <c r="C68" s="54"/>
      <c r="D68" s="54"/>
      <c r="E68" s="55">
        <f>IFERROR(VLOOKUP(C68,'Insumos '!$A$2:$G$313,7,0),0)</f>
        <v>0</v>
      </c>
      <c r="F68" s="55">
        <f t="shared" si="3"/>
        <v>0</v>
      </c>
      <c r="G68" s="54"/>
    </row>
    <row r="69" spans="1:7" x14ac:dyDescent="0.2">
      <c r="A69" s="54"/>
      <c r="B69" s="51" t="str">
        <f t="shared" si="2"/>
        <v/>
      </c>
      <c r="C69" s="54"/>
      <c r="D69" s="54"/>
      <c r="E69" s="55">
        <f>IFERROR(VLOOKUP(C69,'Insumos '!$A$2:$G$313,7,0),0)</f>
        <v>0</v>
      </c>
      <c r="F69" s="55">
        <f t="shared" si="3"/>
        <v>0</v>
      </c>
      <c r="G69" s="54"/>
    </row>
    <row r="70" spans="1:7" x14ac:dyDescent="0.2">
      <c r="A70" s="54"/>
      <c r="B70" s="51" t="str">
        <f t="shared" si="2"/>
        <v/>
      </c>
      <c r="C70" s="54"/>
      <c r="D70" s="54"/>
      <c r="E70" s="55">
        <f>IFERROR(VLOOKUP(C70,'Insumos '!$A$2:$G$313,7,0),0)</f>
        <v>0</v>
      </c>
      <c r="F70" s="55">
        <f t="shared" si="3"/>
        <v>0</v>
      </c>
      <c r="G70" s="54"/>
    </row>
    <row r="71" spans="1:7" x14ac:dyDescent="0.2">
      <c r="A71" s="54"/>
      <c r="B71" s="51" t="str">
        <f t="shared" si="2"/>
        <v/>
      </c>
      <c r="C71" s="54"/>
      <c r="D71" s="54"/>
      <c r="E71" s="55">
        <f>IFERROR(VLOOKUP(C71,'Insumos '!$A$2:$G$313,7,0),0)</f>
        <v>0</v>
      </c>
      <c r="F71" s="55">
        <f t="shared" si="3"/>
        <v>0</v>
      </c>
      <c r="G71" s="54"/>
    </row>
    <row r="72" spans="1:7" x14ac:dyDescent="0.2">
      <c r="A72" s="54"/>
      <c r="B72" s="51" t="str">
        <f t="shared" si="2"/>
        <v/>
      </c>
      <c r="C72" s="54"/>
      <c r="D72" s="54"/>
      <c r="E72" s="55">
        <f>IFERROR(VLOOKUP(C72,'Insumos '!$A$2:$G$313,7,0),0)</f>
        <v>0</v>
      </c>
      <c r="F72" s="55">
        <f t="shared" si="3"/>
        <v>0</v>
      </c>
      <c r="G72" s="54"/>
    </row>
    <row r="73" spans="1:7" x14ac:dyDescent="0.2">
      <c r="A73" s="54"/>
      <c r="B73" s="51" t="str">
        <f t="shared" si="2"/>
        <v/>
      </c>
      <c r="C73" s="54"/>
      <c r="D73" s="54"/>
      <c r="E73" s="55">
        <f>IFERROR(VLOOKUP(C73,'Insumos '!$A$2:$G$313,7,0),0)</f>
        <v>0</v>
      </c>
      <c r="F73" s="55">
        <f t="shared" si="3"/>
        <v>0</v>
      </c>
      <c r="G73" s="54"/>
    </row>
    <row r="74" spans="1:7" x14ac:dyDescent="0.2">
      <c r="A74" s="54"/>
      <c r="B74" s="51" t="str">
        <f t="shared" si="2"/>
        <v/>
      </c>
      <c r="C74" s="54"/>
      <c r="D74" s="54"/>
      <c r="E74" s="55">
        <f>IFERROR(VLOOKUP(C74,'Insumos '!$A$2:$G$313,7,0),0)</f>
        <v>0</v>
      </c>
      <c r="F74" s="55">
        <f t="shared" si="3"/>
        <v>0</v>
      </c>
      <c r="G74" s="54"/>
    </row>
    <row r="75" spans="1:7" x14ac:dyDescent="0.2">
      <c r="A75" s="54"/>
      <c r="B75" s="51" t="str">
        <f t="shared" si="2"/>
        <v/>
      </c>
      <c r="C75" s="54"/>
      <c r="D75" s="54"/>
      <c r="E75" s="55">
        <f>IFERROR(VLOOKUP(C75,'Insumos '!$A$2:$G$313,7,0),0)</f>
        <v>0</v>
      </c>
      <c r="F75" s="55">
        <f t="shared" si="3"/>
        <v>0</v>
      </c>
      <c r="G75" s="54"/>
    </row>
    <row r="76" spans="1:7" x14ac:dyDescent="0.2">
      <c r="A76" s="54"/>
      <c r="B76" s="51" t="str">
        <f t="shared" si="2"/>
        <v/>
      </c>
      <c r="C76" s="54"/>
      <c r="D76" s="54"/>
      <c r="E76" s="55">
        <f>IFERROR(VLOOKUP(C76,'Insumos '!$A$2:$G$313,7,0),0)</f>
        <v>0</v>
      </c>
      <c r="F76" s="55">
        <f t="shared" si="3"/>
        <v>0</v>
      </c>
      <c r="G76" s="54"/>
    </row>
    <row r="77" spans="1:7" x14ac:dyDescent="0.2">
      <c r="A77" s="54"/>
      <c r="B77" s="51" t="str">
        <f t="shared" si="2"/>
        <v/>
      </c>
      <c r="C77" s="54"/>
      <c r="D77" s="54"/>
      <c r="E77" s="55">
        <f>IFERROR(VLOOKUP(C77,'Insumos '!$A$2:$G$313,7,0),0)</f>
        <v>0</v>
      </c>
      <c r="F77" s="55">
        <f t="shared" si="3"/>
        <v>0</v>
      </c>
      <c r="G77" s="54"/>
    </row>
    <row r="78" spans="1:7" x14ac:dyDescent="0.2">
      <c r="A78" s="54"/>
      <c r="B78" s="51" t="str">
        <f t="shared" si="2"/>
        <v/>
      </c>
      <c r="C78" s="54"/>
      <c r="D78" s="54"/>
      <c r="E78" s="55">
        <f>IFERROR(VLOOKUP(C78,'Insumos '!$A$2:$G$313,7,0),0)</f>
        <v>0</v>
      </c>
      <c r="F78" s="55">
        <f t="shared" si="3"/>
        <v>0</v>
      </c>
      <c r="G78" s="54"/>
    </row>
    <row r="79" spans="1:7" x14ac:dyDescent="0.2">
      <c r="A79" s="54"/>
      <c r="B79" s="51" t="str">
        <f t="shared" si="2"/>
        <v/>
      </c>
      <c r="C79" s="54"/>
      <c r="D79" s="54"/>
      <c r="E79" s="55">
        <f>IFERROR(VLOOKUP(C79,'Insumos '!$A$2:$G$313,7,0),0)</f>
        <v>0</v>
      </c>
      <c r="F79" s="55">
        <f t="shared" si="3"/>
        <v>0</v>
      </c>
      <c r="G79" s="54"/>
    </row>
    <row r="80" spans="1:7" x14ac:dyDescent="0.2">
      <c r="A80" s="54"/>
      <c r="B80" s="51" t="str">
        <f t="shared" si="2"/>
        <v/>
      </c>
      <c r="C80" s="54"/>
      <c r="D80" s="54"/>
      <c r="E80" s="55">
        <f>IFERROR(VLOOKUP(C80,'Insumos '!$A$2:$G$313,7,0),0)</f>
        <v>0</v>
      </c>
      <c r="F80" s="55">
        <f t="shared" si="3"/>
        <v>0</v>
      </c>
      <c r="G80" s="54"/>
    </row>
    <row r="81" spans="1:7" x14ac:dyDescent="0.2">
      <c r="A81" s="54"/>
      <c r="B81" s="51" t="str">
        <f t="shared" si="2"/>
        <v/>
      </c>
      <c r="C81" s="54"/>
      <c r="D81" s="54"/>
      <c r="E81" s="55">
        <f>IFERROR(VLOOKUP(C81,'Insumos '!$A$2:$G$313,7,0),0)</f>
        <v>0</v>
      </c>
      <c r="F81" s="55">
        <f t="shared" si="3"/>
        <v>0</v>
      </c>
      <c r="G81" s="54"/>
    </row>
    <row r="82" spans="1:7" x14ac:dyDescent="0.2">
      <c r="A82" s="54"/>
      <c r="B82" s="51" t="str">
        <f t="shared" si="2"/>
        <v/>
      </c>
      <c r="C82" s="54"/>
      <c r="D82" s="54"/>
      <c r="E82" s="55">
        <f>IFERROR(VLOOKUP(C82,'Insumos '!$A$2:$G$313,7,0),0)</f>
        <v>0</v>
      </c>
      <c r="F82" s="55">
        <f t="shared" si="3"/>
        <v>0</v>
      </c>
      <c r="G82" s="54"/>
    </row>
    <row r="83" spans="1:7" x14ac:dyDescent="0.2">
      <c r="A83" s="54"/>
      <c r="B83" s="51" t="str">
        <f t="shared" si="2"/>
        <v/>
      </c>
      <c r="C83" s="54"/>
      <c r="D83" s="54"/>
      <c r="E83" s="55">
        <f>IFERROR(VLOOKUP(C83,'Insumos '!$A$2:$G$313,7,0),0)</f>
        <v>0</v>
      </c>
      <c r="F83" s="55">
        <f t="shared" si="3"/>
        <v>0</v>
      </c>
      <c r="G83" s="54"/>
    </row>
    <row r="84" spans="1:7" x14ac:dyDescent="0.2">
      <c r="A84" s="54"/>
      <c r="B84" s="51" t="str">
        <f t="shared" si="2"/>
        <v/>
      </c>
      <c r="C84" s="54"/>
      <c r="D84" s="54"/>
      <c r="E84" s="55">
        <f>IFERROR(VLOOKUP(C84,'Insumos '!$A$2:$G$313,7,0),0)</f>
        <v>0</v>
      </c>
      <c r="F84" s="55">
        <f t="shared" si="3"/>
        <v>0</v>
      </c>
      <c r="G84" s="54"/>
    </row>
    <row r="85" spans="1:7" x14ac:dyDescent="0.2">
      <c r="A85" s="54"/>
      <c r="B85" s="51" t="str">
        <f t="shared" si="2"/>
        <v/>
      </c>
      <c r="C85" s="54"/>
      <c r="D85" s="54"/>
      <c r="E85" s="55">
        <f>IFERROR(VLOOKUP(C85,'Insumos '!$A$2:$G$313,7,0),0)</f>
        <v>0</v>
      </c>
      <c r="F85" s="55">
        <f t="shared" si="3"/>
        <v>0</v>
      </c>
      <c r="G85" s="54"/>
    </row>
    <row r="86" spans="1:7" x14ac:dyDescent="0.2">
      <c r="A86" s="54"/>
      <c r="B86" s="51" t="str">
        <f t="shared" si="2"/>
        <v/>
      </c>
      <c r="C86" s="54"/>
      <c r="D86" s="54"/>
      <c r="E86" s="55">
        <f>IFERROR(VLOOKUP(C86,'Insumos '!$A$2:$G$313,7,0),0)</f>
        <v>0</v>
      </c>
      <c r="F86" s="55">
        <f t="shared" si="3"/>
        <v>0</v>
      </c>
      <c r="G86" s="54"/>
    </row>
    <row r="87" spans="1:7" x14ac:dyDescent="0.2">
      <c r="A87" s="54"/>
      <c r="B87" s="51" t="str">
        <f t="shared" si="2"/>
        <v/>
      </c>
      <c r="C87" s="54"/>
      <c r="D87" s="54"/>
      <c r="E87" s="55">
        <f>IFERROR(VLOOKUP(C87,'Insumos '!$A$2:$G$313,7,0),0)</f>
        <v>0</v>
      </c>
      <c r="F87" s="55">
        <f t="shared" si="3"/>
        <v>0</v>
      </c>
      <c r="G87" s="54"/>
    </row>
    <row r="88" spans="1:7" x14ac:dyDescent="0.2">
      <c r="A88" s="54"/>
      <c r="B88" s="51" t="str">
        <f t="shared" si="2"/>
        <v/>
      </c>
      <c r="C88" s="54"/>
      <c r="D88" s="54"/>
      <c r="E88" s="55">
        <f>IFERROR(VLOOKUP(C88,'Insumos '!$A$2:$G$313,7,0),0)</f>
        <v>0</v>
      </c>
      <c r="F88" s="55">
        <f t="shared" si="3"/>
        <v>0</v>
      </c>
      <c r="G88" s="54"/>
    </row>
    <row r="89" spans="1:7" x14ac:dyDescent="0.2">
      <c r="A89" s="54"/>
      <c r="B89" s="51" t="str">
        <f t="shared" si="2"/>
        <v/>
      </c>
      <c r="C89" s="54"/>
      <c r="D89" s="54"/>
      <c r="E89" s="55">
        <f>IFERROR(VLOOKUP(C89,'Insumos '!$A$2:$G$313,7,0),0)</f>
        <v>0</v>
      </c>
      <c r="F89" s="55">
        <f t="shared" si="3"/>
        <v>0</v>
      </c>
      <c r="G89" s="54"/>
    </row>
    <row r="90" spans="1:7" x14ac:dyDescent="0.2">
      <c r="A90" s="54"/>
      <c r="B90" s="51" t="str">
        <f t="shared" si="2"/>
        <v/>
      </c>
      <c r="C90" s="54"/>
      <c r="D90" s="54"/>
      <c r="E90" s="55">
        <f>IFERROR(VLOOKUP(C90,'Insumos '!$A$2:$G$313,7,0),0)</f>
        <v>0</v>
      </c>
      <c r="F90" s="55">
        <f t="shared" si="3"/>
        <v>0</v>
      </c>
      <c r="G90" s="54"/>
    </row>
    <row r="91" spans="1:7" x14ac:dyDescent="0.2">
      <c r="A91" s="54"/>
      <c r="B91" s="51" t="str">
        <f t="shared" si="2"/>
        <v/>
      </c>
      <c r="C91" s="54"/>
      <c r="D91" s="54"/>
      <c r="E91" s="55">
        <f>IFERROR(VLOOKUP(C91,'Insumos '!$A$2:$G$313,7,0),0)</f>
        <v>0</v>
      </c>
      <c r="F91" s="55">
        <f t="shared" si="3"/>
        <v>0</v>
      </c>
      <c r="G91" s="54"/>
    </row>
    <row r="92" spans="1:7" x14ac:dyDescent="0.2">
      <c r="A92" s="54"/>
      <c r="B92" s="51" t="str">
        <f t="shared" si="2"/>
        <v/>
      </c>
      <c r="C92" s="54"/>
      <c r="D92" s="54"/>
      <c r="E92" s="55">
        <f>IFERROR(VLOOKUP(C92,'Insumos '!$A$2:$G$313,7,0),0)</f>
        <v>0</v>
      </c>
      <c r="F92" s="55">
        <f t="shared" si="3"/>
        <v>0</v>
      </c>
      <c r="G92" s="54"/>
    </row>
    <row r="93" spans="1:7" x14ac:dyDescent="0.2">
      <c r="A93" s="54"/>
      <c r="B93" s="51" t="str">
        <f t="shared" si="2"/>
        <v/>
      </c>
      <c r="C93" s="54"/>
      <c r="D93" s="54"/>
      <c r="E93" s="55">
        <f>IFERROR(VLOOKUP(C93,'Insumos '!$A$2:$G$313,7,0),0)</f>
        <v>0</v>
      </c>
      <c r="F93" s="55">
        <f t="shared" si="3"/>
        <v>0</v>
      </c>
      <c r="G93" s="54"/>
    </row>
    <row r="94" spans="1:7" x14ac:dyDescent="0.2">
      <c r="A94" s="54"/>
      <c r="B94" s="51" t="str">
        <f t="shared" si="2"/>
        <v/>
      </c>
      <c r="C94" s="54"/>
      <c r="D94" s="54"/>
      <c r="E94" s="55">
        <f>IFERROR(VLOOKUP(C94,'Insumos '!$A$2:$G$313,7,0),0)</f>
        <v>0</v>
      </c>
      <c r="F94" s="55">
        <f t="shared" si="3"/>
        <v>0</v>
      </c>
      <c r="G94" s="54"/>
    </row>
    <row r="95" spans="1:7" x14ac:dyDescent="0.2">
      <c r="A95" s="54"/>
      <c r="B95" s="51" t="str">
        <f t="shared" si="2"/>
        <v/>
      </c>
      <c r="C95" s="54"/>
      <c r="D95" s="54"/>
      <c r="E95" s="55">
        <f>IFERROR(VLOOKUP(C95,'Insumos '!$A$2:$G$313,7,0),0)</f>
        <v>0</v>
      </c>
      <c r="F95" s="55">
        <f t="shared" si="3"/>
        <v>0</v>
      </c>
      <c r="G95" s="54"/>
    </row>
    <row r="96" spans="1:7" x14ac:dyDescent="0.2">
      <c r="A96" s="54"/>
      <c r="B96" s="51" t="str">
        <f t="shared" si="2"/>
        <v/>
      </c>
      <c r="C96" s="54"/>
      <c r="D96" s="54"/>
      <c r="E96" s="55">
        <f>IFERROR(VLOOKUP(C96,'Insumos '!$A$2:$G$313,7,0),0)</f>
        <v>0</v>
      </c>
      <c r="F96" s="55">
        <f t="shared" si="3"/>
        <v>0</v>
      </c>
      <c r="G96" s="54"/>
    </row>
    <row r="97" spans="1:7" x14ac:dyDescent="0.2">
      <c r="A97" s="54"/>
      <c r="B97" s="51" t="str">
        <f t="shared" si="2"/>
        <v/>
      </c>
      <c r="C97" s="54"/>
      <c r="D97" s="54"/>
      <c r="E97" s="55">
        <f>IFERROR(VLOOKUP(C97,'Insumos '!$A$2:$G$313,7,0),0)</f>
        <v>0</v>
      </c>
      <c r="F97" s="55">
        <f t="shared" si="3"/>
        <v>0</v>
      </c>
      <c r="G97" s="54"/>
    </row>
    <row r="98" spans="1:7" x14ac:dyDescent="0.2">
      <c r="A98" s="54"/>
      <c r="B98" s="51" t="str">
        <f t="shared" si="2"/>
        <v/>
      </c>
      <c r="C98" s="54"/>
      <c r="D98" s="54"/>
      <c r="E98" s="55">
        <f>IFERROR(VLOOKUP(C98,'Insumos '!$A$2:$G$313,7,0),0)</f>
        <v>0</v>
      </c>
      <c r="F98" s="55">
        <f t="shared" si="3"/>
        <v>0</v>
      </c>
      <c r="G98" s="54"/>
    </row>
    <row r="99" spans="1:7" x14ac:dyDescent="0.2">
      <c r="A99" s="54"/>
      <c r="B99" s="51" t="str">
        <f t="shared" si="2"/>
        <v/>
      </c>
      <c r="C99" s="54"/>
      <c r="D99" s="54"/>
      <c r="E99" s="55">
        <f>IFERROR(VLOOKUP(C99,'Insumos '!$A$2:$G$313,7,0),0)</f>
        <v>0</v>
      </c>
      <c r="F99" s="55">
        <f t="shared" si="3"/>
        <v>0</v>
      </c>
      <c r="G99" s="54"/>
    </row>
    <row r="100" spans="1:7" x14ac:dyDescent="0.2">
      <c r="A100" s="54"/>
      <c r="B100" s="51" t="str">
        <f t="shared" si="2"/>
        <v/>
      </c>
      <c r="C100" s="54"/>
      <c r="D100" s="54"/>
      <c r="E100" s="55">
        <f>IFERROR(VLOOKUP(C100,'Insumos '!$A$2:$G$313,7,0),0)</f>
        <v>0</v>
      </c>
      <c r="F100" s="55">
        <f t="shared" si="3"/>
        <v>0</v>
      </c>
      <c r="G100" s="54"/>
    </row>
    <row r="101" spans="1:7" x14ac:dyDescent="0.2">
      <c r="A101" s="54"/>
      <c r="B101" s="51" t="str">
        <f t="shared" si="2"/>
        <v/>
      </c>
      <c r="C101" s="54"/>
      <c r="D101" s="54"/>
      <c r="E101" s="55">
        <f>IFERROR(VLOOKUP(C101,'Insumos '!$A$2:$G$313,7,0),0)</f>
        <v>0</v>
      </c>
      <c r="F101" s="55">
        <f t="shared" si="3"/>
        <v>0</v>
      </c>
      <c r="G101" s="54"/>
    </row>
    <row r="102" spans="1:7" x14ac:dyDescent="0.2">
      <c r="A102" s="54"/>
      <c r="B102" s="51" t="str">
        <f t="shared" si="2"/>
        <v/>
      </c>
      <c r="C102" s="54"/>
      <c r="D102" s="54"/>
      <c r="E102" s="55">
        <f>IFERROR(VLOOKUP(C102,'Insumos '!$A$2:$G$313,7,0),0)</f>
        <v>0</v>
      </c>
      <c r="F102" s="55">
        <f t="shared" si="3"/>
        <v>0</v>
      </c>
      <c r="G102" s="54"/>
    </row>
    <row r="103" spans="1:7" x14ac:dyDescent="0.2">
      <c r="A103" s="54"/>
      <c r="B103" s="51" t="str">
        <f t="shared" si="2"/>
        <v/>
      </c>
      <c r="C103" s="54"/>
      <c r="D103" s="54"/>
      <c r="E103" s="55">
        <f>IFERROR(VLOOKUP(C103,'Insumos '!$A$2:$G$313,7,0),0)</f>
        <v>0</v>
      </c>
      <c r="F103" s="55">
        <f t="shared" si="3"/>
        <v>0</v>
      </c>
      <c r="G103" s="54"/>
    </row>
    <row r="104" spans="1:7" x14ac:dyDescent="0.2">
      <c r="A104" s="54"/>
      <c r="B104" s="51" t="str">
        <f t="shared" si="2"/>
        <v/>
      </c>
      <c r="C104" s="54"/>
      <c r="D104" s="54"/>
      <c r="E104" s="55">
        <f>IFERROR(VLOOKUP(C104,'Insumos '!$A$2:$G$313,7,0),0)</f>
        <v>0</v>
      </c>
      <c r="F104" s="55">
        <f t="shared" si="3"/>
        <v>0</v>
      </c>
      <c r="G104" s="54"/>
    </row>
    <row r="105" spans="1:7" x14ac:dyDescent="0.2">
      <c r="A105" s="54"/>
      <c r="B105" s="51" t="str">
        <f t="shared" si="2"/>
        <v/>
      </c>
      <c r="C105" s="54"/>
      <c r="D105" s="54"/>
      <c r="E105" s="55">
        <f>IFERROR(VLOOKUP(C105,'Insumos '!$A$2:$G$313,7,0),0)</f>
        <v>0</v>
      </c>
      <c r="F105" s="55">
        <f t="shared" si="3"/>
        <v>0</v>
      </c>
      <c r="G105" s="54"/>
    </row>
    <row r="106" spans="1:7" x14ac:dyDescent="0.2">
      <c r="A106" s="54"/>
      <c r="B106" s="51" t="str">
        <f t="shared" si="2"/>
        <v/>
      </c>
      <c r="C106" s="54"/>
      <c r="D106" s="54"/>
      <c r="E106" s="55">
        <f>IFERROR(VLOOKUP(C106,'Insumos '!$A$2:$G$313,7,0),0)</f>
        <v>0</v>
      </c>
      <c r="F106" s="55">
        <f t="shared" si="3"/>
        <v>0</v>
      </c>
      <c r="G106" s="54"/>
    </row>
    <row r="107" spans="1:7" x14ac:dyDescent="0.2">
      <c r="A107" s="54"/>
      <c r="B107" s="51" t="str">
        <f t="shared" si="2"/>
        <v/>
      </c>
      <c r="C107" s="54"/>
      <c r="D107" s="54"/>
      <c r="E107" s="55">
        <f>IFERROR(VLOOKUP(C107,'Insumos '!$A$2:$G$313,7,0),0)</f>
        <v>0</v>
      </c>
      <c r="F107" s="55">
        <f t="shared" si="3"/>
        <v>0</v>
      </c>
      <c r="G107" s="54"/>
    </row>
    <row r="108" spans="1:7" x14ac:dyDescent="0.2">
      <c r="A108" s="54"/>
      <c r="B108" s="51" t="str">
        <f t="shared" si="2"/>
        <v/>
      </c>
      <c r="C108" s="54"/>
      <c r="D108" s="54"/>
      <c r="E108" s="55">
        <f>IFERROR(VLOOKUP(C108,'Insumos '!$A$2:$G$313,7,0),0)</f>
        <v>0</v>
      </c>
      <c r="F108" s="55">
        <f t="shared" si="3"/>
        <v>0</v>
      </c>
      <c r="G108" s="54"/>
    </row>
    <row r="109" spans="1:7" x14ac:dyDescent="0.2">
      <c r="A109" s="54"/>
      <c r="B109" s="51" t="str">
        <f t="shared" si="2"/>
        <v/>
      </c>
      <c r="C109" s="54"/>
      <c r="D109" s="54"/>
      <c r="E109" s="55">
        <f>IFERROR(VLOOKUP(C109,'Insumos '!$A$2:$G$313,7,0),0)</f>
        <v>0</v>
      </c>
      <c r="F109" s="55">
        <f t="shared" si="3"/>
        <v>0</v>
      </c>
      <c r="G109" s="54"/>
    </row>
    <row r="110" spans="1:7" x14ac:dyDescent="0.2">
      <c r="A110" s="54"/>
      <c r="B110" s="51" t="str">
        <f t="shared" si="2"/>
        <v/>
      </c>
      <c r="C110" s="54"/>
      <c r="D110" s="54"/>
      <c r="E110" s="55">
        <f>IFERROR(VLOOKUP(C110,'Insumos '!$A$2:$G$313,7,0),0)</f>
        <v>0</v>
      </c>
      <c r="F110" s="55">
        <f t="shared" si="3"/>
        <v>0</v>
      </c>
      <c r="G110" s="54"/>
    </row>
    <row r="111" spans="1:7" x14ac:dyDescent="0.2">
      <c r="A111" s="54"/>
      <c r="B111" s="51" t="str">
        <f t="shared" si="2"/>
        <v/>
      </c>
      <c r="C111" s="54"/>
      <c r="D111" s="54"/>
      <c r="E111" s="55">
        <f>IFERROR(VLOOKUP(C111,'Insumos '!$A$2:$G$313,7,0),0)</f>
        <v>0</v>
      </c>
      <c r="F111" s="55">
        <f t="shared" si="3"/>
        <v>0</v>
      </c>
      <c r="G111" s="54"/>
    </row>
    <row r="112" spans="1:7" x14ac:dyDescent="0.2">
      <c r="A112" s="54"/>
      <c r="B112" s="51" t="str">
        <f t="shared" si="2"/>
        <v/>
      </c>
      <c r="C112" s="54"/>
      <c r="D112" s="54"/>
      <c r="E112" s="55">
        <f>IFERROR(VLOOKUP(C112,'Insumos '!$A$2:$G$313,7,0),0)</f>
        <v>0</v>
      </c>
      <c r="F112" s="55">
        <f t="shared" si="3"/>
        <v>0</v>
      </c>
      <c r="G112" s="54"/>
    </row>
    <row r="113" spans="1:7" x14ac:dyDescent="0.2">
      <c r="A113" s="54"/>
      <c r="B113" s="51" t="str">
        <f t="shared" si="2"/>
        <v/>
      </c>
      <c r="C113" s="54"/>
      <c r="D113" s="54"/>
      <c r="E113" s="55">
        <f>IFERROR(VLOOKUP(C113,'Insumos '!$A$2:$G$313,7,0),0)</f>
        <v>0</v>
      </c>
      <c r="F113" s="55">
        <f t="shared" si="3"/>
        <v>0</v>
      </c>
      <c r="G113" s="54"/>
    </row>
    <row r="114" spans="1:7" x14ac:dyDescent="0.2">
      <c r="A114" s="54"/>
      <c r="B114" s="51" t="str">
        <f t="shared" si="2"/>
        <v/>
      </c>
      <c r="C114" s="54"/>
      <c r="D114" s="54"/>
      <c r="E114" s="55">
        <f>IFERROR(VLOOKUP(C114,'Insumos '!$A$2:$G$313,7,0),0)</f>
        <v>0</v>
      </c>
      <c r="F114" s="55">
        <f t="shared" si="3"/>
        <v>0</v>
      </c>
      <c r="G114" s="54"/>
    </row>
    <row r="115" spans="1:7" x14ac:dyDescent="0.2">
      <c r="A115" s="54"/>
      <c r="B115" s="51" t="str">
        <f t="shared" si="2"/>
        <v/>
      </c>
      <c r="C115" s="54"/>
      <c r="D115" s="54"/>
      <c r="E115" s="55">
        <f>IFERROR(VLOOKUP(C115,'Insumos '!$A$2:$G$313,7,0),0)</f>
        <v>0</v>
      </c>
      <c r="F115" s="55">
        <f t="shared" si="3"/>
        <v>0</v>
      </c>
      <c r="G115" s="54"/>
    </row>
    <row r="116" spans="1:7" x14ac:dyDescent="0.2">
      <c r="A116" s="54"/>
      <c r="B116" s="51" t="str">
        <f t="shared" si="2"/>
        <v/>
      </c>
      <c r="C116" s="54"/>
      <c r="D116" s="54"/>
      <c r="E116" s="55">
        <f>IFERROR(VLOOKUP(C116,'Insumos '!$A$2:$G$313,7,0),0)</f>
        <v>0</v>
      </c>
      <c r="F116" s="55">
        <f t="shared" si="3"/>
        <v>0</v>
      </c>
      <c r="G116" s="54"/>
    </row>
    <row r="117" spans="1:7" x14ac:dyDescent="0.2">
      <c r="A117" s="54"/>
      <c r="B117" s="51" t="str">
        <f t="shared" si="2"/>
        <v/>
      </c>
      <c r="C117" s="54"/>
      <c r="D117" s="54"/>
      <c r="E117" s="55">
        <f>IFERROR(VLOOKUP(C117,'Insumos '!$A$2:$G$313,7,0),0)</f>
        <v>0</v>
      </c>
      <c r="F117" s="55">
        <f t="shared" si="3"/>
        <v>0</v>
      </c>
      <c r="G117" s="54"/>
    </row>
    <row r="118" spans="1:7" x14ac:dyDescent="0.2">
      <c r="A118" s="54"/>
      <c r="B118" s="51" t="str">
        <f t="shared" si="2"/>
        <v/>
      </c>
      <c r="C118" s="54"/>
      <c r="D118" s="54"/>
      <c r="E118" s="55">
        <f>IFERROR(VLOOKUP(C118,'Insumos '!$A$2:$G$313,7,0),0)</f>
        <v>0</v>
      </c>
      <c r="F118" s="55">
        <f t="shared" si="3"/>
        <v>0</v>
      </c>
      <c r="G118" s="54"/>
    </row>
    <row r="119" spans="1:7" x14ac:dyDescent="0.2">
      <c r="A119" s="54"/>
      <c r="B119" s="51" t="str">
        <f t="shared" si="2"/>
        <v/>
      </c>
      <c r="C119" s="54"/>
      <c r="D119" s="54"/>
      <c r="E119" s="55">
        <f>IFERROR(VLOOKUP(C119,'Insumos '!$A$2:$G$313,7,0),0)</f>
        <v>0</v>
      </c>
      <c r="F119" s="55">
        <f t="shared" si="3"/>
        <v>0</v>
      </c>
      <c r="G119" s="54"/>
    </row>
    <row r="120" spans="1:7" x14ac:dyDescent="0.2">
      <c r="A120" s="54"/>
      <c r="B120" s="51" t="str">
        <f t="shared" si="2"/>
        <v/>
      </c>
      <c r="C120" s="54"/>
      <c r="D120" s="54"/>
      <c r="E120" s="55">
        <f>IFERROR(VLOOKUP(C120,'Insumos '!$A$2:$G$313,7,0),0)</f>
        <v>0</v>
      </c>
      <c r="F120" s="55">
        <f t="shared" si="3"/>
        <v>0</v>
      </c>
      <c r="G120" s="54"/>
    </row>
    <row r="121" spans="1:7" x14ac:dyDescent="0.2">
      <c r="A121" s="54"/>
      <c r="B121" s="51" t="str">
        <f t="shared" si="2"/>
        <v/>
      </c>
      <c r="C121" s="54"/>
      <c r="D121" s="54"/>
      <c r="E121" s="55">
        <f>IFERROR(VLOOKUP(C121,'Insumos '!$A$2:$G$313,7,0),0)</f>
        <v>0</v>
      </c>
      <c r="F121" s="55">
        <f t="shared" si="3"/>
        <v>0</v>
      </c>
      <c r="G121" s="54"/>
    </row>
    <row r="122" spans="1:7" x14ac:dyDescent="0.2">
      <c r="A122" s="54"/>
      <c r="B122" s="51" t="str">
        <f t="shared" si="2"/>
        <v/>
      </c>
      <c r="C122" s="54"/>
      <c r="D122" s="54"/>
      <c r="E122" s="55">
        <f>IFERROR(VLOOKUP(C122,'Insumos '!$A$2:$G$313,7,0),0)</f>
        <v>0</v>
      </c>
      <c r="F122" s="55">
        <f t="shared" si="3"/>
        <v>0</v>
      </c>
      <c r="G122" s="54"/>
    </row>
    <row r="123" spans="1:7" x14ac:dyDescent="0.2">
      <c r="A123" s="54"/>
      <c r="B123" s="51" t="str">
        <f t="shared" si="2"/>
        <v/>
      </c>
      <c r="C123" s="54"/>
      <c r="D123" s="54"/>
      <c r="E123" s="55">
        <f>IFERROR(VLOOKUP(C123,'Insumos '!$A$2:$G$313,7,0),0)</f>
        <v>0</v>
      </c>
      <c r="F123" s="55">
        <f t="shared" si="3"/>
        <v>0</v>
      </c>
      <c r="G123" s="54"/>
    </row>
    <row r="124" spans="1:7" x14ac:dyDescent="0.2">
      <c r="A124" s="54"/>
      <c r="B124" s="51" t="str">
        <f t="shared" si="2"/>
        <v/>
      </c>
      <c r="C124" s="54"/>
      <c r="D124" s="54"/>
      <c r="E124" s="55">
        <f>IFERROR(VLOOKUP(C124,'Insumos '!$A$2:$G$313,7,0),0)</f>
        <v>0</v>
      </c>
      <c r="F124" s="55">
        <f t="shared" si="3"/>
        <v>0</v>
      </c>
      <c r="G124" s="54"/>
    </row>
    <row r="125" spans="1:7" x14ac:dyDescent="0.2">
      <c r="A125" s="54"/>
      <c r="B125" s="51" t="str">
        <f t="shared" si="2"/>
        <v/>
      </c>
      <c r="C125" s="54"/>
      <c r="D125" s="54"/>
      <c r="E125" s="55">
        <f>IFERROR(VLOOKUP(C125,'Insumos '!$A$2:$G$313,7,0),0)</f>
        <v>0</v>
      </c>
      <c r="F125" s="55">
        <f t="shared" si="3"/>
        <v>0</v>
      </c>
      <c r="G125" s="54"/>
    </row>
    <row r="126" spans="1:7" x14ac:dyDescent="0.2">
      <c r="A126" s="54"/>
      <c r="B126" s="51" t="str">
        <f t="shared" si="2"/>
        <v/>
      </c>
      <c r="C126" s="54"/>
      <c r="D126" s="54"/>
      <c r="E126" s="55">
        <f>IFERROR(VLOOKUP(C126,'Insumos '!$A$2:$G$313,7,0),0)</f>
        <v>0</v>
      </c>
      <c r="F126" s="55">
        <f t="shared" si="3"/>
        <v>0</v>
      </c>
      <c r="G126" s="54"/>
    </row>
    <row r="127" spans="1:7" x14ac:dyDescent="0.2">
      <c r="A127" s="54"/>
      <c r="B127" s="51" t="str">
        <f t="shared" si="2"/>
        <v/>
      </c>
      <c r="C127" s="54"/>
      <c r="D127" s="54"/>
      <c r="E127" s="55">
        <f>IFERROR(VLOOKUP(C127,'Insumos '!$A$2:$G$313,7,0),0)</f>
        <v>0</v>
      </c>
      <c r="F127" s="55">
        <f t="shared" si="3"/>
        <v>0</v>
      </c>
      <c r="G127" s="54"/>
    </row>
    <row r="128" spans="1:7" x14ac:dyDescent="0.2">
      <c r="A128" s="54"/>
      <c r="B128" s="51" t="str">
        <f t="shared" si="2"/>
        <v/>
      </c>
      <c r="C128" s="54"/>
      <c r="D128" s="54"/>
      <c r="E128" s="55">
        <f>IFERROR(VLOOKUP(C128,'Insumos '!$A$2:$G$313,7,0),0)</f>
        <v>0</v>
      </c>
      <c r="F128" s="55">
        <f t="shared" si="3"/>
        <v>0</v>
      </c>
      <c r="G128" s="54"/>
    </row>
    <row r="129" spans="1:7" x14ac:dyDescent="0.2">
      <c r="A129" s="54"/>
      <c r="B129" s="51" t="str">
        <f t="shared" si="2"/>
        <v/>
      </c>
      <c r="C129" s="54"/>
      <c r="D129" s="54"/>
      <c r="E129" s="55">
        <f>IFERROR(VLOOKUP(C129,'Insumos '!$A$2:$G$313,7,0),0)</f>
        <v>0</v>
      </c>
      <c r="F129" s="55">
        <f t="shared" si="3"/>
        <v>0</v>
      </c>
      <c r="G129" s="54"/>
    </row>
    <row r="130" spans="1:7" x14ac:dyDescent="0.2">
      <c r="A130" s="54"/>
      <c r="B130" s="51" t="str">
        <f t="shared" ref="B130:B193" si="4">IF(A130="", "", PROPER(TEXT(A130, "MMMM")))</f>
        <v/>
      </c>
      <c r="C130" s="54"/>
      <c r="D130" s="54"/>
      <c r="E130" s="55">
        <f>IFERROR(VLOOKUP(C130,'Insumos '!$A$2:$G$313,7,0),0)</f>
        <v>0</v>
      </c>
      <c r="F130" s="55">
        <f t="shared" ref="F130:F193" si="5">D130*E130</f>
        <v>0</v>
      </c>
      <c r="G130" s="54"/>
    </row>
    <row r="131" spans="1:7" x14ac:dyDescent="0.2">
      <c r="A131" s="54"/>
      <c r="B131" s="51" t="str">
        <f t="shared" si="4"/>
        <v/>
      </c>
      <c r="C131" s="54"/>
      <c r="D131" s="54"/>
      <c r="E131" s="55">
        <f>IFERROR(VLOOKUP(C131,'Insumos '!$A$2:$G$313,7,0),0)</f>
        <v>0</v>
      </c>
      <c r="F131" s="55">
        <f t="shared" si="5"/>
        <v>0</v>
      </c>
      <c r="G131" s="54"/>
    </row>
    <row r="132" spans="1:7" x14ac:dyDescent="0.2">
      <c r="A132" s="54"/>
      <c r="B132" s="51" t="str">
        <f t="shared" si="4"/>
        <v/>
      </c>
      <c r="C132" s="54"/>
      <c r="D132" s="54"/>
      <c r="E132" s="55">
        <f>IFERROR(VLOOKUP(C132,'Insumos '!$A$2:$G$313,7,0),0)</f>
        <v>0</v>
      </c>
      <c r="F132" s="55">
        <f t="shared" si="5"/>
        <v>0</v>
      </c>
      <c r="G132" s="54"/>
    </row>
    <row r="133" spans="1:7" x14ac:dyDescent="0.2">
      <c r="A133" s="54"/>
      <c r="B133" s="51" t="str">
        <f t="shared" si="4"/>
        <v/>
      </c>
      <c r="C133" s="54"/>
      <c r="D133" s="54"/>
      <c r="E133" s="55">
        <f>IFERROR(VLOOKUP(C133,'Insumos '!$A$2:$G$313,7,0),0)</f>
        <v>0</v>
      </c>
      <c r="F133" s="55">
        <f t="shared" si="5"/>
        <v>0</v>
      </c>
      <c r="G133" s="54"/>
    </row>
    <row r="134" spans="1:7" x14ac:dyDescent="0.2">
      <c r="A134" s="54"/>
      <c r="B134" s="51" t="str">
        <f t="shared" si="4"/>
        <v/>
      </c>
      <c r="C134" s="54"/>
      <c r="D134" s="54"/>
      <c r="E134" s="55">
        <f>IFERROR(VLOOKUP(C134,'Insumos '!$A$2:$G$313,7,0),0)</f>
        <v>0</v>
      </c>
      <c r="F134" s="55">
        <f t="shared" si="5"/>
        <v>0</v>
      </c>
      <c r="G134" s="54"/>
    </row>
    <row r="135" spans="1:7" x14ac:dyDescent="0.2">
      <c r="A135" s="54"/>
      <c r="B135" s="51" t="str">
        <f t="shared" si="4"/>
        <v/>
      </c>
      <c r="C135" s="54"/>
      <c r="D135" s="54"/>
      <c r="E135" s="55">
        <f>IFERROR(VLOOKUP(C135,'Insumos '!$A$2:$G$313,7,0),0)</f>
        <v>0</v>
      </c>
      <c r="F135" s="55">
        <f t="shared" si="5"/>
        <v>0</v>
      </c>
      <c r="G135" s="54"/>
    </row>
    <row r="136" spans="1:7" x14ac:dyDescent="0.2">
      <c r="A136" s="54"/>
      <c r="B136" s="51" t="str">
        <f t="shared" si="4"/>
        <v/>
      </c>
      <c r="C136" s="54"/>
      <c r="D136" s="54"/>
      <c r="E136" s="55">
        <f>IFERROR(VLOOKUP(C136,'Insumos '!$A$2:$G$313,7,0),0)</f>
        <v>0</v>
      </c>
      <c r="F136" s="55">
        <f t="shared" si="5"/>
        <v>0</v>
      </c>
      <c r="G136" s="54"/>
    </row>
    <row r="137" spans="1:7" x14ac:dyDescent="0.2">
      <c r="A137" s="54"/>
      <c r="B137" s="51" t="str">
        <f t="shared" si="4"/>
        <v/>
      </c>
      <c r="C137" s="54"/>
      <c r="D137" s="54"/>
      <c r="E137" s="55">
        <f>IFERROR(VLOOKUP(C137,'Insumos '!$A$2:$G$313,7,0),0)</f>
        <v>0</v>
      </c>
      <c r="F137" s="55">
        <f t="shared" si="5"/>
        <v>0</v>
      </c>
      <c r="G137" s="54"/>
    </row>
    <row r="138" spans="1:7" x14ac:dyDescent="0.2">
      <c r="A138" s="54"/>
      <c r="B138" s="51" t="str">
        <f t="shared" si="4"/>
        <v/>
      </c>
      <c r="C138" s="54"/>
      <c r="D138" s="54"/>
      <c r="E138" s="55">
        <f>IFERROR(VLOOKUP(C138,'Insumos '!$A$2:$G$313,7,0),0)</f>
        <v>0</v>
      </c>
      <c r="F138" s="55">
        <f t="shared" si="5"/>
        <v>0</v>
      </c>
      <c r="G138" s="54"/>
    </row>
    <row r="139" spans="1:7" x14ac:dyDescent="0.2">
      <c r="A139" s="54"/>
      <c r="B139" s="51" t="str">
        <f t="shared" si="4"/>
        <v/>
      </c>
      <c r="C139" s="54"/>
      <c r="D139" s="54"/>
      <c r="E139" s="55">
        <f>IFERROR(VLOOKUP(C139,'Insumos '!$A$2:$G$313,7,0),0)</f>
        <v>0</v>
      </c>
      <c r="F139" s="55">
        <f t="shared" si="5"/>
        <v>0</v>
      </c>
      <c r="G139" s="54"/>
    </row>
    <row r="140" spans="1:7" x14ac:dyDescent="0.2">
      <c r="A140" s="54"/>
      <c r="B140" s="51" t="str">
        <f t="shared" si="4"/>
        <v/>
      </c>
      <c r="C140" s="54"/>
      <c r="D140" s="54"/>
      <c r="E140" s="55">
        <f>IFERROR(VLOOKUP(C140,'Insumos '!$A$2:$G$313,7,0),0)</f>
        <v>0</v>
      </c>
      <c r="F140" s="55">
        <f t="shared" si="5"/>
        <v>0</v>
      </c>
      <c r="G140" s="54"/>
    </row>
    <row r="141" spans="1:7" x14ac:dyDescent="0.2">
      <c r="A141" s="54"/>
      <c r="B141" s="51" t="str">
        <f t="shared" si="4"/>
        <v/>
      </c>
      <c r="C141" s="54"/>
      <c r="D141" s="54"/>
      <c r="E141" s="55">
        <f>IFERROR(VLOOKUP(C141,'Insumos '!$A$2:$G$313,7,0),0)</f>
        <v>0</v>
      </c>
      <c r="F141" s="55">
        <f t="shared" si="5"/>
        <v>0</v>
      </c>
      <c r="G141" s="54"/>
    </row>
    <row r="142" spans="1:7" x14ac:dyDescent="0.2">
      <c r="A142" s="54"/>
      <c r="B142" s="51" t="str">
        <f t="shared" si="4"/>
        <v/>
      </c>
      <c r="C142" s="54"/>
      <c r="D142" s="54"/>
      <c r="E142" s="55">
        <f>IFERROR(VLOOKUP(C142,'Insumos '!$A$2:$G$313,7,0),0)</f>
        <v>0</v>
      </c>
      <c r="F142" s="55">
        <f t="shared" si="5"/>
        <v>0</v>
      </c>
      <c r="G142" s="54"/>
    </row>
    <row r="143" spans="1:7" x14ac:dyDescent="0.2">
      <c r="A143" s="54"/>
      <c r="B143" s="51" t="str">
        <f t="shared" si="4"/>
        <v/>
      </c>
      <c r="C143" s="54"/>
      <c r="D143" s="54"/>
      <c r="E143" s="55">
        <f>IFERROR(VLOOKUP(C143,'Insumos '!$A$2:$G$313,7,0),0)</f>
        <v>0</v>
      </c>
      <c r="F143" s="55">
        <f t="shared" si="5"/>
        <v>0</v>
      </c>
      <c r="G143" s="54"/>
    </row>
    <row r="144" spans="1:7" x14ac:dyDescent="0.2">
      <c r="A144" s="54"/>
      <c r="B144" s="51" t="str">
        <f t="shared" si="4"/>
        <v/>
      </c>
      <c r="C144" s="54"/>
      <c r="D144" s="54"/>
      <c r="E144" s="55">
        <f>IFERROR(VLOOKUP(C144,'Insumos '!$A$2:$G$313,7,0),0)</f>
        <v>0</v>
      </c>
      <c r="F144" s="55">
        <f t="shared" si="5"/>
        <v>0</v>
      </c>
      <c r="G144" s="54"/>
    </row>
    <row r="145" spans="1:7" x14ac:dyDescent="0.2">
      <c r="A145" s="54"/>
      <c r="B145" s="51" t="str">
        <f t="shared" si="4"/>
        <v/>
      </c>
      <c r="C145" s="54"/>
      <c r="D145" s="54"/>
      <c r="E145" s="55">
        <f>IFERROR(VLOOKUP(C145,'Insumos '!$A$2:$G$313,7,0),0)</f>
        <v>0</v>
      </c>
      <c r="F145" s="55">
        <f t="shared" si="5"/>
        <v>0</v>
      </c>
      <c r="G145" s="54"/>
    </row>
    <row r="146" spans="1:7" x14ac:dyDescent="0.2">
      <c r="A146" s="54"/>
      <c r="B146" s="51" t="str">
        <f t="shared" si="4"/>
        <v/>
      </c>
      <c r="C146" s="54"/>
      <c r="D146" s="54"/>
      <c r="E146" s="55">
        <f>IFERROR(VLOOKUP(C146,'Insumos '!$A$2:$G$313,7,0),0)</f>
        <v>0</v>
      </c>
      <c r="F146" s="55">
        <f t="shared" si="5"/>
        <v>0</v>
      </c>
      <c r="G146" s="54"/>
    </row>
    <row r="147" spans="1:7" x14ac:dyDescent="0.2">
      <c r="A147" s="54"/>
      <c r="B147" s="51" t="str">
        <f t="shared" si="4"/>
        <v/>
      </c>
      <c r="C147" s="54"/>
      <c r="D147" s="54"/>
      <c r="E147" s="55">
        <f>IFERROR(VLOOKUP(C147,'Insumos '!$A$2:$G$313,7,0),0)</f>
        <v>0</v>
      </c>
      <c r="F147" s="55">
        <f t="shared" si="5"/>
        <v>0</v>
      </c>
      <c r="G147" s="54"/>
    </row>
    <row r="148" spans="1:7" x14ac:dyDescent="0.2">
      <c r="A148" s="54"/>
      <c r="B148" s="51" t="str">
        <f t="shared" si="4"/>
        <v/>
      </c>
      <c r="C148" s="54"/>
      <c r="D148" s="54"/>
      <c r="E148" s="55">
        <f>IFERROR(VLOOKUP(C148,'Insumos '!$A$2:$G$313,7,0),0)</f>
        <v>0</v>
      </c>
      <c r="F148" s="55">
        <f t="shared" si="5"/>
        <v>0</v>
      </c>
      <c r="G148" s="54"/>
    </row>
    <row r="149" spans="1:7" x14ac:dyDescent="0.2">
      <c r="A149" s="54"/>
      <c r="B149" s="51" t="str">
        <f t="shared" si="4"/>
        <v/>
      </c>
      <c r="C149" s="54"/>
      <c r="D149" s="54"/>
      <c r="E149" s="55">
        <f>IFERROR(VLOOKUP(C149,'Insumos '!$A$2:$G$313,7,0),0)</f>
        <v>0</v>
      </c>
      <c r="F149" s="55">
        <f t="shared" si="5"/>
        <v>0</v>
      </c>
      <c r="G149" s="54"/>
    </row>
    <row r="150" spans="1:7" x14ac:dyDescent="0.2">
      <c r="A150" s="54"/>
      <c r="B150" s="51" t="str">
        <f t="shared" si="4"/>
        <v/>
      </c>
      <c r="C150" s="54"/>
      <c r="D150" s="54"/>
      <c r="E150" s="55">
        <f>IFERROR(VLOOKUP(C150,'Insumos '!$A$2:$G$313,7,0),0)</f>
        <v>0</v>
      </c>
      <c r="F150" s="55">
        <f t="shared" si="5"/>
        <v>0</v>
      </c>
      <c r="G150" s="54"/>
    </row>
    <row r="151" spans="1:7" x14ac:dyDescent="0.2">
      <c r="A151" s="54"/>
      <c r="B151" s="51" t="str">
        <f t="shared" si="4"/>
        <v/>
      </c>
      <c r="C151" s="54"/>
      <c r="D151" s="54"/>
      <c r="E151" s="55">
        <f>IFERROR(VLOOKUP(C151,'Insumos '!$A$2:$G$313,7,0),0)</f>
        <v>0</v>
      </c>
      <c r="F151" s="55">
        <f t="shared" si="5"/>
        <v>0</v>
      </c>
      <c r="G151" s="54"/>
    </row>
    <row r="152" spans="1:7" x14ac:dyDescent="0.2">
      <c r="A152" s="54"/>
      <c r="B152" s="51" t="str">
        <f t="shared" si="4"/>
        <v/>
      </c>
      <c r="C152" s="54"/>
      <c r="D152" s="54"/>
      <c r="E152" s="55">
        <f>IFERROR(VLOOKUP(C152,'Insumos '!$A$2:$G$313,7,0),0)</f>
        <v>0</v>
      </c>
      <c r="F152" s="55">
        <f t="shared" si="5"/>
        <v>0</v>
      </c>
      <c r="G152" s="54"/>
    </row>
    <row r="153" spans="1:7" x14ac:dyDescent="0.2">
      <c r="A153" s="54"/>
      <c r="B153" s="51" t="str">
        <f t="shared" si="4"/>
        <v/>
      </c>
      <c r="C153" s="54"/>
      <c r="D153" s="54"/>
      <c r="E153" s="55">
        <f>IFERROR(VLOOKUP(C153,'Insumos '!$A$2:$G$313,7,0),0)</f>
        <v>0</v>
      </c>
      <c r="F153" s="55">
        <f t="shared" si="5"/>
        <v>0</v>
      </c>
      <c r="G153" s="54"/>
    </row>
    <row r="154" spans="1:7" x14ac:dyDescent="0.2">
      <c r="A154" s="54"/>
      <c r="B154" s="51" t="str">
        <f t="shared" si="4"/>
        <v/>
      </c>
      <c r="C154" s="54"/>
      <c r="D154" s="54"/>
      <c r="E154" s="55">
        <f>IFERROR(VLOOKUP(C154,'Insumos '!$A$2:$G$313,7,0),0)</f>
        <v>0</v>
      </c>
      <c r="F154" s="55">
        <f t="shared" si="5"/>
        <v>0</v>
      </c>
      <c r="G154" s="54"/>
    </row>
    <row r="155" spans="1:7" x14ac:dyDescent="0.2">
      <c r="A155" s="54"/>
      <c r="B155" s="51" t="str">
        <f t="shared" si="4"/>
        <v/>
      </c>
      <c r="C155" s="54"/>
      <c r="D155" s="54"/>
      <c r="E155" s="55">
        <f>IFERROR(VLOOKUP(C155,'Insumos '!$A$2:$G$313,7,0),0)</f>
        <v>0</v>
      </c>
      <c r="F155" s="55">
        <f t="shared" si="5"/>
        <v>0</v>
      </c>
      <c r="G155" s="54"/>
    </row>
    <row r="156" spans="1:7" x14ac:dyDescent="0.2">
      <c r="A156" s="54"/>
      <c r="B156" s="51" t="str">
        <f t="shared" si="4"/>
        <v/>
      </c>
      <c r="C156" s="54"/>
      <c r="D156" s="54"/>
      <c r="E156" s="55">
        <f>IFERROR(VLOOKUP(C156,'Insumos '!$A$2:$G$313,7,0),0)</f>
        <v>0</v>
      </c>
      <c r="F156" s="55">
        <f t="shared" si="5"/>
        <v>0</v>
      </c>
      <c r="G156" s="54"/>
    </row>
    <row r="157" spans="1:7" x14ac:dyDescent="0.2">
      <c r="A157" s="54"/>
      <c r="B157" s="51" t="str">
        <f t="shared" si="4"/>
        <v/>
      </c>
      <c r="C157" s="54"/>
      <c r="D157" s="54"/>
      <c r="E157" s="55">
        <f>IFERROR(VLOOKUP(C157,'Insumos '!$A$2:$G$313,7,0),0)</f>
        <v>0</v>
      </c>
      <c r="F157" s="55">
        <f t="shared" si="5"/>
        <v>0</v>
      </c>
      <c r="G157" s="54"/>
    </row>
    <row r="158" spans="1:7" x14ac:dyDescent="0.2">
      <c r="A158" s="54"/>
      <c r="B158" s="51" t="str">
        <f t="shared" si="4"/>
        <v/>
      </c>
      <c r="C158" s="54"/>
      <c r="D158" s="54"/>
      <c r="E158" s="55">
        <f>IFERROR(VLOOKUP(C158,'Insumos '!$A$2:$G$313,7,0),0)</f>
        <v>0</v>
      </c>
      <c r="F158" s="55">
        <f t="shared" si="5"/>
        <v>0</v>
      </c>
      <c r="G158" s="54"/>
    </row>
    <row r="159" spans="1:7" x14ac:dyDescent="0.2">
      <c r="A159" s="54"/>
      <c r="B159" s="51" t="str">
        <f t="shared" si="4"/>
        <v/>
      </c>
      <c r="C159" s="54"/>
      <c r="D159" s="54"/>
      <c r="E159" s="55">
        <f>IFERROR(VLOOKUP(C159,'Insumos '!$A$2:$G$313,7,0),0)</f>
        <v>0</v>
      </c>
      <c r="F159" s="55">
        <f t="shared" si="5"/>
        <v>0</v>
      </c>
      <c r="G159" s="54"/>
    </row>
    <row r="160" spans="1:7" x14ac:dyDescent="0.2">
      <c r="A160" s="54"/>
      <c r="B160" s="51" t="str">
        <f t="shared" si="4"/>
        <v/>
      </c>
      <c r="C160" s="54"/>
      <c r="D160" s="54"/>
      <c r="E160" s="55">
        <f>IFERROR(VLOOKUP(C160,'Insumos '!$A$2:$G$313,7,0),0)</f>
        <v>0</v>
      </c>
      <c r="F160" s="55">
        <f t="shared" si="5"/>
        <v>0</v>
      </c>
      <c r="G160" s="54"/>
    </row>
    <row r="161" spans="1:7" x14ac:dyDescent="0.2">
      <c r="A161" s="54"/>
      <c r="B161" s="51" t="str">
        <f t="shared" si="4"/>
        <v/>
      </c>
      <c r="C161" s="54"/>
      <c r="D161" s="54"/>
      <c r="E161" s="55">
        <f>IFERROR(VLOOKUP(C161,'Insumos '!$A$2:$G$313,7,0),0)</f>
        <v>0</v>
      </c>
      <c r="F161" s="55">
        <f t="shared" si="5"/>
        <v>0</v>
      </c>
      <c r="G161" s="54"/>
    </row>
    <row r="162" spans="1:7" x14ac:dyDescent="0.2">
      <c r="A162" s="54"/>
      <c r="B162" s="51" t="str">
        <f t="shared" si="4"/>
        <v/>
      </c>
      <c r="C162" s="54"/>
      <c r="D162" s="54"/>
      <c r="E162" s="55">
        <f>IFERROR(VLOOKUP(C162,'Insumos '!$A$2:$G$313,7,0),0)</f>
        <v>0</v>
      </c>
      <c r="F162" s="55">
        <f t="shared" si="5"/>
        <v>0</v>
      </c>
      <c r="G162" s="54"/>
    </row>
    <row r="163" spans="1:7" x14ac:dyDescent="0.2">
      <c r="A163" s="54"/>
      <c r="B163" s="51" t="str">
        <f t="shared" si="4"/>
        <v/>
      </c>
      <c r="C163" s="54"/>
      <c r="D163" s="54"/>
      <c r="E163" s="55">
        <f>IFERROR(VLOOKUP(C163,'Insumos '!$A$2:$G$313,7,0),0)</f>
        <v>0</v>
      </c>
      <c r="F163" s="55">
        <f t="shared" si="5"/>
        <v>0</v>
      </c>
      <c r="G163" s="54"/>
    </row>
    <row r="164" spans="1:7" x14ac:dyDescent="0.2">
      <c r="A164" s="54"/>
      <c r="B164" s="51" t="str">
        <f t="shared" si="4"/>
        <v/>
      </c>
      <c r="C164" s="54"/>
      <c r="D164" s="54"/>
      <c r="E164" s="55">
        <f>IFERROR(VLOOKUP(C164,'Insumos '!$A$2:$G$313,7,0),0)</f>
        <v>0</v>
      </c>
      <c r="F164" s="55">
        <f t="shared" si="5"/>
        <v>0</v>
      </c>
      <c r="G164" s="54"/>
    </row>
    <row r="165" spans="1:7" x14ac:dyDescent="0.2">
      <c r="A165" s="54"/>
      <c r="B165" s="51" t="str">
        <f t="shared" si="4"/>
        <v/>
      </c>
      <c r="C165" s="54"/>
      <c r="D165" s="54"/>
      <c r="E165" s="55">
        <f>IFERROR(VLOOKUP(C165,'Insumos '!$A$2:$G$313,7,0),0)</f>
        <v>0</v>
      </c>
      <c r="F165" s="55">
        <f t="shared" si="5"/>
        <v>0</v>
      </c>
      <c r="G165" s="54"/>
    </row>
    <row r="166" spans="1:7" x14ac:dyDescent="0.2">
      <c r="A166" s="54"/>
      <c r="B166" s="51" t="str">
        <f t="shared" si="4"/>
        <v/>
      </c>
      <c r="C166" s="54"/>
      <c r="D166" s="54"/>
      <c r="E166" s="55">
        <f>IFERROR(VLOOKUP(C166,'Insumos '!$A$2:$G$313,7,0),0)</f>
        <v>0</v>
      </c>
      <c r="F166" s="55">
        <f t="shared" si="5"/>
        <v>0</v>
      </c>
      <c r="G166" s="54"/>
    </row>
    <row r="167" spans="1:7" x14ac:dyDescent="0.2">
      <c r="A167" s="54"/>
      <c r="B167" s="51" t="str">
        <f t="shared" si="4"/>
        <v/>
      </c>
      <c r="C167" s="54"/>
      <c r="D167" s="54"/>
      <c r="E167" s="55">
        <f>IFERROR(VLOOKUP(C167,'Insumos '!$A$2:$G$313,7,0),0)</f>
        <v>0</v>
      </c>
      <c r="F167" s="55">
        <f t="shared" si="5"/>
        <v>0</v>
      </c>
      <c r="G167" s="54"/>
    </row>
    <row r="168" spans="1:7" x14ac:dyDescent="0.2">
      <c r="A168" s="54"/>
      <c r="B168" s="51" t="str">
        <f t="shared" si="4"/>
        <v/>
      </c>
      <c r="C168" s="54"/>
      <c r="D168" s="54"/>
      <c r="E168" s="55">
        <f>IFERROR(VLOOKUP(C168,'Insumos '!$A$2:$G$313,7,0),0)</f>
        <v>0</v>
      </c>
      <c r="F168" s="55">
        <f t="shared" si="5"/>
        <v>0</v>
      </c>
      <c r="G168" s="54"/>
    </row>
    <row r="169" spans="1:7" x14ac:dyDescent="0.2">
      <c r="A169" s="54"/>
      <c r="B169" s="51" t="str">
        <f t="shared" si="4"/>
        <v/>
      </c>
      <c r="C169" s="54"/>
      <c r="D169" s="54"/>
      <c r="E169" s="55">
        <f>IFERROR(VLOOKUP(C169,'Insumos '!$A$2:$G$313,7,0),0)</f>
        <v>0</v>
      </c>
      <c r="F169" s="55">
        <f t="shared" si="5"/>
        <v>0</v>
      </c>
      <c r="G169" s="54"/>
    </row>
    <row r="170" spans="1:7" x14ac:dyDescent="0.2">
      <c r="A170" s="54"/>
      <c r="B170" s="51" t="str">
        <f t="shared" si="4"/>
        <v/>
      </c>
      <c r="C170" s="54"/>
      <c r="D170" s="54"/>
      <c r="E170" s="55">
        <f>IFERROR(VLOOKUP(C170,'Insumos '!$A$2:$G$313,7,0),0)</f>
        <v>0</v>
      </c>
      <c r="F170" s="55">
        <f t="shared" si="5"/>
        <v>0</v>
      </c>
      <c r="G170" s="54"/>
    </row>
    <row r="171" spans="1:7" x14ac:dyDescent="0.2">
      <c r="A171" s="54"/>
      <c r="B171" s="51" t="str">
        <f t="shared" si="4"/>
        <v/>
      </c>
      <c r="C171" s="54"/>
      <c r="D171" s="54"/>
      <c r="E171" s="55">
        <f>IFERROR(VLOOKUP(C171,'Insumos '!$A$2:$G$313,7,0),0)</f>
        <v>0</v>
      </c>
      <c r="F171" s="55">
        <f t="shared" si="5"/>
        <v>0</v>
      </c>
      <c r="G171" s="54"/>
    </row>
    <row r="172" spans="1:7" x14ac:dyDescent="0.2">
      <c r="A172" s="54"/>
      <c r="B172" s="51" t="str">
        <f t="shared" si="4"/>
        <v/>
      </c>
      <c r="C172" s="54"/>
      <c r="D172" s="54"/>
      <c r="E172" s="55">
        <f>IFERROR(VLOOKUP(C172,'Insumos '!$A$2:$G$313,7,0),0)</f>
        <v>0</v>
      </c>
      <c r="F172" s="55">
        <f t="shared" si="5"/>
        <v>0</v>
      </c>
      <c r="G172" s="54"/>
    </row>
    <row r="173" spans="1:7" x14ac:dyDescent="0.2">
      <c r="A173" s="54"/>
      <c r="B173" s="51" t="str">
        <f t="shared" si="4"/>
        <v/>
      </c>
      <c r="C173" s="54"/>
      <c r="D173" s="54"/>
      <c r="E173" s="55">
        <f>IFERROR(VLOOKUP(C173,'Insumos '!$A$2:$G$313,7,0),0)</f>
        <v>0</v>
      </c>
      <c r="F173" s="55">
        <f t="shared" si="5"/>
        <v>0</v>
      </c>
      <c r="G173" s="54"/>
    </row>
    <row r="174" spans="1:7" x14ac:dyDescent="0.2">
      <c r="A174" s="54"/>
      <c r="B174" s="51" t="str">
        <f t="shared" si="4"/>
        <v/>
      </c>
      <c r="C174" s="54"/>
      <c r="D174" s="54"/>
      <c r="E174" s="55">
        <f>IFERROR(VLOOKUP(C174,'Insumos '!$A$2:$G$313,7,0),0)</f>
        <v>0</v>
      </c>
      <c r="F174" s="55">
        <f t="shared" si="5"/>
        <v>0</v>
      </c>
      <c r="G174" s="54"/>
    </row>
    <row r="175" spans="1:7" x14ac:dyDescent="0.2">
      <c r="A175" s="54"/>
      <c r="B175" s="51" t="str">
        <f t="shared" si="4"/>
        <v/>
      </c>
      <c r="C175" s="54"/>
      <c r="D175" s="54"/>
      <c r="E175" s="55">
        <f>IFERROR(VLOOKUP(C175,'Insumos '!$A$2:$G$313,7,0),0)</f>
        <v>0</v>
      </c>
      <c r="F175" s="55">
        <f t="shared" si="5"/>
        <v>0</v>
      </c>
      <c r="G175" s="54"/>
    </row>
    <row r="176" spans="1:7" x14ac:dyDescent="0.2">
      <c r="A176" s="54"/>
      <c r="B176" s="51" t="str">
        <f t="shared" si="4"/>
        <v/>
      </c>
      <c r="C176" s="54"/>
      <c r="D176" s="54"/>
      <c r="E176" s="55">
        <f>IFERROR(VLOOKUP(C176,'Insumos '!$A$2:$G$313,7,0),0)</f>
        <v>0</v>
      </c>
      <c r="F176" s="55">
        <f t="shared" si="5"/>
        <v>0</v>
      </c>
      <c r="G176" s="54"/>
    </row>
    <row r="177" spans="1:7" x14ac:dyDescent="0.2">
      <c r="A177" s="54"/>
      <c r="B177" s="51" t="str">
        <f t="shared" si="4"/>
        <v/>
      </c>
      <c r="C177" s="54"/>
      <c r="D177" s="54"/>
      <c r="E177" s="55">
        <f>IFERROR(VLOOKUP(C177,'Insumos '!$A$2:$G$313,7,0),0)</f>
        <v>0</v>
      </c>
      <c r="F177" s="55">
        <f t="shared" si="5"/>
        <v>0</v>
      </c>
      <c r="G177" s="54"/>
    </row>
    <row r="178" spans="1:7" x14ac:dyDescent="0.2">
      <c r="A178" s="54"/>
      <c r="B178" s="51" t="str">
        <f t="shared" si="4"/>
        <v/>
      </c>
      <c r="C178" s="54"/>
      <c r="D178" s="54"/>
      <c r="E178" s="55">
        <f>IFERROR(VLOOKUP(C178,'Insumos '!$A$2:$G$313,7,0),0)</f>
        <v>0</v>
      </c>
      <c r="F178" s="55">
        <f t="shared" si="5"/>
        <v>0</v>
      </c>
      <c r="G178" s="54"/>
    </row>
    <row r="179" spans="1:7" x14ac:dyDescent="0.2">
      <c r="A179" s="54"/>
      <c r="B179" s="51" t="str">
        <f t="shared" si="4"/>
        <v/>
      </c>
      <c r="C179" s="54"/>
      <c r="D179" s="54"/>
      <c r="E179" s="55">
        <f>IFERROR(VLOOKUP(C179,'Insumos '!$A$2:$G$313,7,0),0)</f>
        <v>0</v>
      </c>
      <c r="F179" s="55">
        <f t="shared" si="5"/>
        <v>0</v>
      </c>
      <c r="G179" s="54"/>
    </row>
    <row r="180" spans="1:7" x14ac:dyDescent="0.2">
      <c r="A180" s="54"/>
      <c r="B180" s="51" t="str">
        <f t="shared" si="4"/>
        <v/>
      </c>
      <c r="C180" s="54"/>
      <c r="D180" s="54"/>
      <c r="E180" s="55">
        <f>IFERROR(VLOOKUP(C180,'Insumos '!$A$2:$G$313,7,0),0)</f>
        <v>0</v>
      </c>
      <c r="F180" s="55">
        <f t="shared" si="5"/>
        <v>0</v>
      </c>
      <c r="G180" s="54"/>
    </row>
    <row r="181" spans="1:7" x14ac:dyDescent="0.2">
      <c r="A181" s="54"/>
      <c r="B181" s="51" t="str">
        <f t="shared" si="4"/>
        <v/>
      </c>
      <c r="C181" s="54"/>
      <c r="D181" s="54"/>
      <c r="E181" s="55">
        <f>IFERROR(VLOOKUP(C181,'Insumos '!$A$2:$G$313,7,0),0)</f>
        <v>0</v>
      </c>
      <c r="F181" s="55">
        <f t="shared" si="5"/>
        <v>0</v>
      </c>
      <c r="G181" s="54"/>
    </row>
    <row r="182" spans="1:7" x14ac:dyDescent="0.2">
      <c r="A182" s="54"/>
      <c r="B182" s="51" t="str">
        <f t="shared" si="4"/>
        <v/>
      </c>
      <c r="C182" s="54"/>
      <c r="D182" s="54"/>
      <c r="E182" s="55">
        <f>IFERROR(VLOOKUP(C182,'Insumos '!$A$2:$G$313,7,0),0)</f>
        <v>0</v>
      </c>
      <c r="F182" s="55">
        <f t="shared" si="5"/>
        <v>0</v>
      </c>
      <c r="G182" s="54"/>
    </row>
    <row r="183" spans="1:7" x14ac:dyDescent="0.2">
      <c r="A183" s="54"/>
      <c r="B183" s="51" t="str">
        <f t="shared" si="4"/>
        <v/>
      </c>
      <c r="C183" s="54"/>
      <c r="D183" s="54"/>
      <c r="E183" s="55">
        <f>IFERROR(VLOOKUP(C183,'Insumos '!$A$2:$G$313,7,0),0)</f>
        <v>0</v>
      </c>
      <c r="F183" s="55">
        <f t="shared" si="5"/>
        <v>0</v>
      </c>
      <c r="G183" s="54"/>
    </row>
    <row r="184" spans="1:7" x14ac:dyDescent="0.2">
      <c r="A184" s="54"/>
      <c r="B184" s="51" t="str">
        <f t="shared" si="4"/>
        <v/>
      </c>
      <c r="C184" s="54"/>
      <c r="D184" s="54"/>
      <c r="E184" s="55">
        <f>IFERROR(VLOOKUP(C184,'Insumos '!$A$2:$G$313,7,0),0)</f>
        <v>0</v>
      </c>
      <c r="F184" s="55">
        <f t="shared" si="5"/>
        <v>0</v>
      </c>
      <c r="G184" s="54"/>
    </row>
    <row r="185" spans="1:7" x14ac:dyDescent="0.2">
      <c r="A185" s="54"/>
      <c r="B185" s="51" t="str">
        <f t="shared" si="4"/>
        <v/>
      </c>
      <c r="C185" s="54"/>
      <c r="D185" s="54"/>
      <c r="E185" s="55">
        <f>IFERROR(VLOOKUP(C185,'Insumos '!$A$2:$G$313,7,0),0)</f>
        <v>0</v>
      </c>
      <c r="F185" s="55">
        <f t="shared" si="5"/>
        <v>0</v>
      </c>
      <c r="G185" s="54"/>
    </row>
    <row r="186" spans="1:7" x14ac:dyDescent="0.2">
      <c r="A186" s="54"/>
      <c r="B186" s="51" t="str">
        <f t="shared" si="4"/>
        <v/>
      </c>
      <c r="C186" s="54"/>
      <c r="D186" s="54"/>
      <c r="E186" s="55">
        <f>IFERROR(VLOOKUP(C186,'Insumos '!$A$2:$G$313,7,0),0)</f>
        <v>0</v>
      </c>
      <c r="F186" s="55">
        <f t="shared" si="5"/>
        <v>0</v>
      </c>
      <c r="G186" s="54"/>
    </row>
    <row r="187" spans="1:7" x14ac:dyDescent="0.2">
      <c r="A187" s="54"/>
      <c r="B187" s="51" t="str">
        <f t="shared" si="4"/>
        <v/>
      </c>
      <c r="C187" s="54"/>
      <c r="D187" s="54"/>
      <c r="E187" s="55">
        <f>IFERROR(VLOOKUP(C187,'Insumos '!$A$2:$G$313,7,0),0)</f>
        <v>0</v>
      </c>
      <c r="F187" s="55">
        <f t="shared" si="5"/>
        <v>0</v>
      </c>
      <c r="G187" s="54"/>
    </row>
    <row r="188" spans="1:7" x14ac:dyDescent="0.2">
      <c r="A188" s="54"/>
      <c r="B188" s="51" t="str">
        <f t="shared" si="4"/>
        <v/>
      </c>
      <c r="C188" s="54"/>
      <c r="D188" s="54"/>
      <c r="E188" s="55">
        <f>IFERROR(VLOOKUP(C188,'Insumos '!$A$2:$G$313,7,0),0)</f>
        <v>0</v>
      </c>
      <c r="F188" s="55">
        <f t="shared" si="5"/>
        <v>0</v>
      </c>
      <c r="G188" s="54"/>
    </row>
    <row r="189" spans="1:7" x14ac:dyDescent="0.2">
      <c r="A189" s="54"/>
      <c r="B189" s="51" t="str">
        <f t="shared" si="4"/>
        <v/>
      </c>
      <c r="C189" s="54"/>
      <c r="D189" s="54"/>
      <c r="E189" s="55">
        <f>IFERROR(VLOOKUP(C189,'Insumos '!$A$2:$G$313,7,0),0)</f>
        <v>0</v>
      </c>
      <c r="F189" s="55">
        <f t="shared" si="5"/>
        <v>0</v>
      </c>
      <c r="G189" s="54"/>
    </row>
    <row r="190" spans="1:7" x14ac:dyDescent="0.2">
      <c r="A190" s="54"/>
      <c r="B190" s="51" t="str">
        <f t="shared" si="4"/>
        <v/>
      </c>
      <c r="C190" s="54"/>
      <c r="D190" s="54"/>
      <c r="E190" s="55">
        <f>IFERROR(VLOOKUP(C190,'Insumos '!$A$2:$G$313,7,0),0)</f>
        <v>0</v>
      </c>
      <c r="F190" s="55">
        <f t="shared" si="5"/>
        <v>0</v>
      </c>
      <c r="G190" s="54"/>
    </row>
    <row r="191" spans="1:7" x14ac:dyDescent="0.2">
      <c r="A191" s="54"/>
      <c r="B191" s="51" t="str">
        <f t="shared" si="4"/>
        <v/>
      </c>
      <c r="C191" s="54"/>
      <c r="D191" s="54"/>
      <c r="E191" s="55">
        <f>IFERROR(VLOOKUP(C191,'Insumos '!$A$2:$G$313,7,0),0)</f>
        <v>0</v>
      </c>
      <c r="F191" s="55">
        <f t="shared" si="5"/>
        <v>0</v>
      </c>
      <c r="G191" s="54"/>
    </row>
    <row r="192" spans="1:7" x14ac:dyDescent="0.2">
      <c r="A192" s="54"/>
      <c r="B192" s="51" t="str">
        <f t="shared" si="4"/>
        <v/>
      </c>
      <c r="C192" s="54"/>
      <c r="D192" s="54"/>
      <c r="E192" s="55">
        <f>IFERROR(VLOOKUP(C192,'Insumos '!$A$2:$G$313,7,0),0)</f>
        <v>0</v>
      </c>
      <c r="F192" s="55">
        <f t="shared" si="5"/>
        <v>0</v>
      </c>
      <c r="G192" s="54"/>
    </row>
    <row r="193" spans="1:7" x14ac:dyDescent="0.2">
      <c r="A193" s="54"/>
      <c r="B193" s="51" t="str">
        <f t="shared" si="4"/>
        <v/>
      </c>
      <c r="C193" s="54"/>
      <c r="D193" s="54"/>
      <c r="E193" s="55">
        <f>IFERROR(VLOOKUP(C193,'Insumos '!$A$2:$G$313,7,0),0)</f>
        <v>0</v>
      </c>
      <c r="F193" s="55">
        <f t="shared" si="5"/>
        <v>0</v>
      </c>
      <c r="G193" s="54"/>
    </row>
    <row r="194" spans="1:7" x14ac:dyDescent="0.2">
      <c r="A194" s="54"/>
      <c r="B194" s="51" t="str">
        <f t="shared" ref="B194:B257" si="6">IF(A194="", "", PROPER(TEXT(A194, "MMMM")))</f>
        <v/>
      </c>
      <c r="C194" s="54"/>
      <c r="D194" s="54"/>
      <c r="E194" s="55">
        <f>IFERROR(VLOOKUP(C194,'Insumos '!$A$2:$G$313,7,0),0)</f>
        <v>0</v>
      </c>
      <c r="F194" s="55">
        <f t="shared" ref="F194:F257" si="7">D194*E194</f>
        <v>0</v>
      </c>
      <c r="G194" s="54"/>
    </row>
    <row r="195" spans="1:7" x14ac:dyDescent="0.2">
      <c r="A195" s="54"/>
      <c r="B195" s="51" t="str">
        <f t="shared" si="6"/>
        <v/>
      </c>
      <c r="C195" s="54"/>
      <c r="D195" s="54"/>
      <c r="E195" s="55">
        <f>IFERROR(VLOOKUP(C195,'Insumos '!$A$2:$G$313,7,0),0)</f>
        <v>0</v>
      </c>
      <c r="F195" s="55">
        <f t="shared" si="7"/>
        <v>0</v>
      </c>
      <c r="G195" s="54"/>
    </row>
    <row r="196" spans="1:7" x14ac:dyDescent="0.2">
      <c r="A196" s="54"/>
      <c r="B196" s="51" t="str">
        <f t="shared" si="6"/>
        <v/>
      </c>
      <c r="C196" s="54"/>
      <c r="D196" s="54"/>
      <c r="E196" s="55">
        <f>IFERROR(VLOOKUP(C196,'Insumos '!$A$2:$G$313,7,0),0)</f>
        <v>0</v>
      </c>
      <c r="F196" s="55">
        <f t="shared" si="7"/>
        <v>0</v>
      </c>
      <c r="G196" s="54"/>
    </row>
    <row r="197" spans="1:7" x14ac:dyDescent="0.2">
      <c r="A197" s="54"/>
      <c r="B197" s="51" t="str">
        <f t="shared" si="6"/>
        <v/>
      </c>
      <c r="C197" s="54"/>
      <c r="D197" s="54"/>
      <c r="E197" s="55">
        <f>IFERROR(VLOOKUP(C197,'Insumos '!$A$2:$G$313,7,0),0)</f>
        <v>0</v>
      </c>
      <c r="F197" s="55">
        <f t="shared" si="7"/>
        <v>0</v>
      </c>
      <c r="G197" s="54"/>
    </row>
    <row r="198" spans="1:7" x14ac:dyDescent="0.2">
      <c r="A198" s="54"/>
      <c r="B198" s="51" t="str">
        <f t="shared" si="6"/>
        <v/>
      </c>
      <c r="C198" s="54"/>
      <c r="D198" s="54"/>
      <c r="E198" s="55">
        <f>IFERROR(VLOOKUP(C198,'Insumos '!$A$2:$G$313,7,0),0)</f>
        <v>0</v>
      </c>
      <c r="F198" s="55">
        <f t="shared" si="7"/>
        <v>0</v>
      </c>
      <c r="G198" s="54"/>
    </row>
    <row r="199" spans="1:7" x14ac:dyDescent="0.2">
      <c r="A199" s="54"/>
      <c r="B199" s="51" t="str">
        <f t="shared" si="6"/>
        <v/>
      </c>
      <c r="C199" s="54"/>
      <c r="D199" s="54"/>
      <c r="E199" s="55">
        <f>IFERROR(VLOOKUP(C199,'Insumos '!$A$2:$G$313,7,0),0)</f>
        <v>0</v>
      </c>
      <c r="F199" s="55">
        <f t="shared" si="7"/>
        <v>0</v>
      </c>
      <c r="G199" s="54"/>
    </row>
    <row r="200" spans="1:7" x14ac:dyDescent="0.2">
      <c r="A200" s="54"/>
      <c r="B200" s="51" t="str">
        <f t="shared" si="6"/>
        <v/>
      </c>
      <c r="C200" s="54"/>
      <c r="D200" s="54"/>
      <c r="E200" s="55">
        <f>IFERROR(VLOOKUP(C200,'Insumos '!$A$2:$G$313,7,0),0)</f>
        <v>0</v>
      </c>
      <c r="F200" s="55">
        <f t="shared" si="7"/>
        <v>0</v>
      </c>
      <c r="G200" s="54"/>
    </row>
    <row r="201" spans="1:7" x14ac:dyDescent="0.2">
      <c r="A201" s="54"/>
      <c r="B201" s="51" t="str">
        <f t="shared" si="6"/>
        <v/>
      </c>
      <c r="C201" s="54"/>
      <c r="D201" s="54"/>
      <c r="E201" s="55">
        <f>IFERROR(VLOOKUP(C201,'Insumos '!$A$2:$G$313,7,0),0)</f>
        <v>0</v>
      </c>
      <c r="F201" s="55">
        <f t="shared" si="7"/>
        <v>0</v>
      </c>
      <c r="G201" s="54"/>
    </row>
    <row r="202" spans="1:7" x14ac:dyDescent="0.2">
      <c r="A202" s="54"/>
      <c r="B202" s="51" t="str">
        <f t="shared" si="6"/>
        <v/>
      </c>
      <c r="C202" s="54"/>
      <c r="D202" s="54"/>
      <c r="E202" s="55">
        <f>IFERROR(VLOOKUP(C202,'Insumos '!$A$2:$G$313,7,0),0)</f>
        <v>0</v>
      </c>
      <c r="F202" s="55">
        <f t="shared" si="7"/>
        <v>0</v>
      </c>
      <c r="G202" s="54"/>
    </row>
    <row r="203" spans="1:7" x14ac:dyDescent="0.2">
      <c r="A203" s="54"/>
      <c r="B203" s="51" t="str">
        <f t="shared" si="6"/>
        <v/>
      </c>
      <c r="C203" s="54"/>
      <c r="D203" s="54"/>
      <c r="E203" s="55">
        <f>IFERROR(VLOOKUP(C203,'Insumos '!$A$2:$G$313,7,0),0)</f>
        <v>0</v>
      </c>
      <c r="F203" s="55">
        <f t="shared" si="7"/>
        <v>0</v>
      </c>
      <c r="G203" s="54"/>
    </row>
    <row r="204" spans="1:7" x14ac:dyDescent="0.2">
      <c r="A204" s="54"/>
      <c r="B204" s="51" t="str">
        <f t="shared" si="6"/>
        <v/>
      </c>
      <c r="C204" s="54"/>
      <c r="D204" s="54"/>
      <c r="E204" s="55">
        <f>IFERROR(VLOOKUP(C204,'Insumos '!$A$2:$G$313,7,0),0)</f>
        <v>0</v>
      </c>
      <c r="F204" s="55">
        <f t="shared" si="7"/>
        <v>0</v>
      </c>
      <c r="G204" s="54"/>
    </row>
    <row r="205" spans="1:7" x14ac:dyDescent="0.2">
      <c r="A205" s="54"/>
      <c r="B205" s="51" t="str">
        <f t="shared" si="6"/>
        <v/>
      </c>
      <c r="C205" s="54"/>
      <c r="D205" s="54"/>
      <c r="E205" s="55">
        <f>IFERROR(VLOOKUP(C205,'Insumos '!$A$2:$G$313,7,0),0)</f>
        <v>0</v>
      </c>
      <c r="F205" s="55">
        <f t="shared" si="7"/>
        <v>0</v>
      </c>
      <c r="G205" s="54"/>
    </row>
    <row r="206" spans="1:7" x14ac:dyDescent="0.2">
      <c r="A206" s="54"/>
      <c r="B206" s="51" t="str">
        <f t="shared" si="6"/>
        <v/>
      </c>
      <c r="C206" s="54"/>
      <c r="D206" s="54"/>
      <c r="E206" s="55">
        <f>IFERROR(VLOOKUP(C206,'Insumos '!$A$2:$G$313,7,0),0)</f>
        <v>0</v>
      </c>
      <c r="F206" s="55">
        <f t="shared" si="7"/>
        <v>0</v>
      </c>
      <c r="G206" s="54"/>
    </row>
    <row r="207" spans="1:7" x14ac:dyDescent="0.2">
      <c r="A207" s="54"/>
      <c r="B207" s="51" t="str">
        <f t="shared" si="6"/>
        <v/>
      </c>
      <c r="C207" s="54"/>
      <c r="D207" s="54"/>
      <c r="E207" s="55">
        <f>IFERROR(VLOOKUP(C207,'Insumos '!$A$2:$G$313,7,0),0)</f>
        <v>0</v>
      </c>
      <c r="F207" s="55">
        <f t="shared" si="7"/>
        <v>0</v>
      </c>
      <c r="G207" s="54"/>
    </row>
    <row r="208" spans="1:7" x14ac:dyDescent="0.2">
      <c r="A208" s="54"/>
      <c r="B208" s="51" t="str">
        <f t="shared" si="6"/>
        <v/>
      </c>
      <c r="C208" s="54"/>
      <c r="D208" s="54"/>
      <c r="E208" s="55">
        <f>IFERROR(VLOOKUP(C208,'Insumos '!$A$2:$G$313,7,0),0)</f>
        <v>0</v>
      </c>
      <c r="F208" s="55">
        <f t="shared" si="7"/>
        <v>0</v>
      </c>
      <c r="G208" s="54"/>
    </row>
    <row r="209" spans="1:7" x14ac:dyDescent="0.2">
      <c r="A209" s="54"/>
      <c r="B209" s="51" t="str">
        <f t="shared" si="6"/>
        <v/>
      </c>
      <c r="C209" s="54"/>
      <c r="D209" s="54"/>
      <c r="E209" s="55">
        <f>IFERROR(VLOOKUP(C209,'Insumos '!$A$2:$G$313,7,0),0)</f>
        <v>0</v>
      </c>
      <c r="F209" s="55">
        <f t="shared" si="7"/>
        <v>0</v>
      </c>
      <c r="G209" s="54"/>
    </row>
    <row r="210" spans="1:7" x14ac:dyDescent="0.2">
      <c r="A210" s="54"/>
      <c r="B210" s="51" t="str">
        <f t="shared" si="6"/>
        <v/>
      </c>
      <c r="C210" s="54"/>
      <c r="D210" s="54"/>
      <c r="E210" s="55">
        <f>IFERROR(VLOOKUP(C210,'Insumos '!$A$2:$G$313,7,0),0)</f>
        <v>0</v>
      </c>
      <c r="F210" s="55">
        <f t="shared" si="7"/>
        <v>0</v>
      </c>
      <c r="G210" s="54"/>
    </row>
    <row r="211" spans="1:7" x14ac:dyDescent="0.2">
      <c r="A211" s="54"/>
      <c r="B211" s="51" t="str">
        <f t="shared" si="6"/>
        <v/>
      </c>
      <c r="C211" s="54"/>
      <c r="D211" s="54"/>
      <c r="E211" s="55">
        <f>IFERROR(VLOOKUP(C211,'Insumos '!$A$2:$G$313,7,0),0)</f>
        <v>0</v>
      </c>
      <c r="F211" s="55">
        <f t="shared" si="7"/>
        <v>0</v>
      </c>
      <c r="G211" s="54"/>
    </row>
    <row r="212" spans="1:7" x14ac:dyDescent="0.2">
      <c r="A212" s="54"/>
      <c r="B212" s="51" t="str">
        <f t="shared" si="6"/>
        <v/>
      </c>
      <c r="C212" s="54"/>
      <c r="D212" s="54"/>
      <c r="E212" s="55">
        <f>IFERROR(VLOOKUP(C212,'Insumos '!$A$2:$G$313,7,0),0)</f>
        <v>0</v>
      </c>
      <c r="F212" s="55">
        <f t="shared" si="7"/>
        <v>0</v>
      </c>
      <c r="G212" s="54"/>
    </row>
    <row r="213" spans="1:7" x14ac:dyDescent="0.2">
      <c r="A213" s="54"/>
      <c r="B213" s="51" t="str">
        <f t="shared" si="6"/>
        <v/>
      </c>
      <c r="C213" s="54"/>
      <c r="D213" s="54"/>
      <c r="E213" s="55">
        <f>IFERROR(VLOOKUP(C213,'Insumos '!$A$2:$G$313,7,0),0)</f>
        <v>0</v>
      </c>
      <c r="F213" s="55">
        <f t="shared" si="7"/>
        <v>0</v>
      </c>
      <c r="G213" s="54"/>
    </row>
    <row r="214" spans="1:7" x14ac:dyDescent="0.2">
      <c r="A214" s="54"/>
      <c r="B214" s="51" t="str">
        <f t="shared" si="6"/>
        <v/>
      </c>
      <c r="C214" s="54"/>
      <c r="D214" s="54"/>
      <c r="E214" s="55">
        <f>IFERROR(VLOOKUP(C214,'Insumos '!$A$2:$G$313,7,0),0)</f>
        <v>0</v>
      </c>
      <c r="F214" s="55">
        <f t="shared" si="7"/>
        <v>0</v>
      </c>
      <c r="G214" s="54"/>
    </row>
    <row r="215" spans="1:7" x14ac:dyDescent="0.2">
      <c r="A215" s="54"/>
      <c r="B215" s="51" t="str">
        <f t="shared" si="6"/>
        <v/>
      </c>
      <c r="C215" s="54"/>
      <c r="D215" s="54"/>
      <c r="E215" s="55">
        <f>IFERROR(VLOOKUP(C215,'Insumos '!$A$2:$G$313,7,0),0)</f>
        <v>0</v>
      </c>
      <c r="F215" s="55">
        <f t="shared" si="7"/>
        <v>0</v>
      </c>
      <c r="G215" s="54"/>
    </row>
    <row r="216" spans="1:7" x14ac:dyDescent="0.2">
      <c r="A216" s="54"/>
      <c r="B216" s="51" t="str">
        <f t="shared" si="6"/>
        <v/>
      </c>
      <c r="C216" s="54"/>
      <c r="D216" s="54"/>
      <c r="E216" s="55">
        <f>IFERROR(VLOOKUP(C216,'Insumos '!$A$2:$G$313,7,0),0)</f>
        <v>0</v>
      </c>
      <c r="F216" s="55">
        <f t="shared" si="7"/>
        <v>0</v>
      </c>
      <c r="G216" s="54"/>
    </row>
    <row r="217" spans="1:7" x14ac:dyDescent="0.2">
      <c r="A217" s="54"/>
      <c r="B217" s="51" t="str">
        <f t="shared" si="6"/>
        <v/>
      </c>
      <c r="C217" s="54"/>
      <c r="D217" s="54"/>
      <c r="E217" s="55">
        <f>IFERROR(VLOOKUP(C217,'Insumos '!$A$2:$G$313,7,0),0)</f>
        <v>0</v>
      </c>
      <c r="F217" s="55">
        <f t="shared" si="7"/>
        <v>0</v>
      </c>
      <c r="G217" s="54"/>
    </row>
    <row r="218" spans="1:7" x14ac:dyDescent="0.2">
      <c r="A218" s="54"/>
      <c r="B218" s="51" t="str">
        <f t="shared" si="6"/>
        <v/>
      </c>
      <c r="C218" s="54"/>
      <c r="D218" s="54"/>
      <c r="E218" s="55">
        <f>IFERROR(VLOOKUP(C218,'Insumos '!$A$2:$G$313,7,0),0)</f>
        <v>0</v>
      </c>
      <c r="F218" s="55">
        <f t="shared" si="7"/>
        <v>0</v>
      </c>
      <c r="G218" s="54"/>
    </row>
    <row r="219" spans="1:7" x14ac:dyDescent="0.2">
      <c r="A219" s="54"/>
      <c r="B219" s="51" t="str">
        <f t="shared" si="6"/>
        <v/>
      </c>
      <c r="C219" s="54"/>
      <c r="D219" s="54"/>
      <c r="E219" s="55">
        <f>IFERROR(VLOOKUP(C219,'Insumos '!$A$2:$G$313,7,0),0)</f>
        <v>0</v>
      </c>
      <c r="F219" s="55">
        <f t="shared" si="7"/>
        <v>0</v>
      </c>
      <c r="G219" s="54"/>
    </row>
    <row r="220" spans="1:7" x14ac:dyDescent="0.2">
      <c r="A220" s="54"/>
      <c r="B220" s="51" t="str">
        <f t="shared" si="6"/>
        <v/>
      </c>
      <c r="C220" s="54"/>
      <c r="D220" s="54"/>
      <c r="E220" s="55">
        <f>IFERROR(VLOOKUP(C220,'Insumos '!$A$2:$G$313,7,0),0)</f>
        <v>0</v>
      </c>
      <c r="F220" s="55">
        <f t="shared" si="7"/>
        <v>0</v>
      </c>
      <c r="G220" s="54"/>
    </row>
    <row r="221" spans="1:7" x14ac:dyDescent="0.2">
      <c r="A221" s="54"/>
      <c r="B221" s="51" t="str">
        <f t="shared" si="6"/>
        <v/>
      </c>
      <c r="C221" s="54"/>
      <c r="D221" s="54"/>
      <c r="E221" s="55">
        <f>IFERROR(VLOOKUP(C221,'Insumos '!$A$2:$G$313,7,0),0)</f>
        <v>0</v>
      </c>
      <c r="F221" s="55">
        <f t="shared" si="7"/>
        <v>0</v>
      </c>
      <c r="G221" s="54"/>
    </row>
    <row r="222" spans="1:7" x14ac:dyDescent="0.2">
      <c r="A222" s="54"/>
      <c r="B222" s="51" t="str">
        <f t="shared" si="6"/>
        <v/>
      </c>
      <c r="C222" s="54"/>
      <c r="D222" s="54"/>
      <c r="E222" s="55">
        <f>IFERROR(VLOOKUP(C222,'Insumos '!$A$2:$G$313,7,0),0)</f>
        <v>0</v>
      </c>
      <c r="F222" s="55">
        <f t="shared" si="7"/>
        <v>0</v>
      </c>
      <c r="G222" s="54"/>
    </row>
    <row r="223" spans="1:7" x14ac:dyDescent="0.2">
      <c r="A223" s="54"/>
      <c r="B223" s="51" t="str">
        <f t="shared" si="6"/>
        <v/>
      </c>
      <c r="C223" s="54"/>
      <c r="D223" s="54"/>
      <c r="E223" s="55">
        <f>IFERROR(VLOOKUP(C223,'Insumos '!$A$2:$G$313,7,0),0)</f>
        <v>0</v>
      </c>
      <c r="F223" s="55">
        <f t="shared" si="7"/>
        <v>0</v>
      </c>
      <c r="G223" s="54"/>
    </row>
    <row r="224" spans="1:7" x14ac:dyDescent="0.2">
      <c r="A224" s="54"/>
      <c r="B224" s="51" t="str">
        <f t="shared" si="6"/>
        <v/>
      </c>
      <c r="C224" s="54"/>
      <c r="D224" s="54"/>
      <c r="E224" s="55">
        <f>IFERROR(VLOOKUP(C224,'Insumos '!$A$2:$G$313,7,0),0)</f>
        <v>0</v>
      </c>
      <c r="F224" s="55">
        <f t="shared" si="7"/>
        <v>0</v>
      </c>
      <c r="G224" s="54"/>
    </row>
    <row r="225" spans="1:7" x14ac:dyDescent="0.2">
      <c r="A225" s="54"/>
      <c r="B225" s="51" t="str">
        <f t="shared" si="6"/>
        <v/>
      </c>
      <c r="C225" s="54"/>
      <c r="D225" s="54"/>
      <c r="E225" s="55">
        <f>IFERROR(VLOOKUP(C225,'Insumos '!$A$2:$G$313,7,0),0)</f>
        <v>0</v>
      </c>
      <c r="F225" s="55">
        <f t="shared" si="7"/>
        <v>0</v>
      </c>
      <c r="G225" s="54"/>
    </row>
    <row r="226" spans="1:7" x14ac:dyDescent="0.2">
      <c r="A226" s="54"/>
      <c r="B226" s="51" t="str">
        <f t="shared" si="6"/>
        <v/>
      </c>
      <c r="C226" s="54"/>
      <c r="D226" s="54"/>
      <c r="E226" s="55">
        <f>IFERROR(VLOOKUP(C226,'Insumos '!$A$2:$G$313,7,0),0)</f>
        <v>0</v>
      </c>
      <c r="F226" s="55">
        <f t="shared" si="7"/>
        <v>0</v>
      </c>
      <c r="G226" s="54"/>
    </row>
    <row r="227" spans="1:7" x14ac:dyDescent="0.2">
      <c r="A227" s="54"/>
      <c r="B227" s="51" t="str">
        <f t="shared" si="6"/>
        <v/>
      </c>
      <c r="C227" s="54"/>
      <c r="D227" s="54"/>
      <c r="E227" s="55">
        <f>IFERROR(VLOOKUP(C227,'Insumos '!$A$2:$G$313,7,0),0)</f>
        <v>0</v>
      </c>
      <c r="F227" s="55">
        <f t="shared" si="7"/>
        <v>0</v>
      </c>
      <c r="G227" s="54"/>
    </row>
    <row r="228" spans="1:7" x14ac:dyDescent="0.2">
      <c r="A228" s="54"/>
      <c r="B228" s="51" t="str">
        <f t="shared" si="6"/>
        <v/>
      </c>
      <c r="C228" s="54"/>
      <c r="D228" s="54"/>
      <c r="E228" s="55">
        <f>IFERROR(VLOOKUP(C228,'Insumos '!$A$2:$G$313,7,0),0)</f>
        <v>0</v>
      </c>
      <c r="F228" s="55">
        <f t="shared" si="7"/>
        <v>0</v>
      </c>
      <c r="G228" s="54"/>
    </row>
    <row r="229" spans="1:7" x14ac:dyDescent="0.2">
      <c r="A229" s="54"/>
      <c r="B229" s="51" t="str">
        <f t="shared" si="6"/>
        <v/>
      </c>
      <c r="C229" s="54"/>
      <c r="D229" s="54"/>
      <c r="E229" s="55">
        <f>IFERROR(VLOOKUP(C229,'Insumos '!$A$2:$G$313,7,0),0)</f>
        <v>0</v>
      </c>
      <c r="F229" s="55">
        <f t="shared" si="7"/>
        <v>0</v>
      </c>
      <c r="G229" s="54"/>
    </row>
    <row r="230" spans="1:7" x14ac:dyDescent="0.2">
      <c r="A230" s="54"/>
      <c r="B230" s="51" t="str">
        <f t="shared" si="6"/>
        <v/>
      </c>
      <c r="C230" s="54"/>
      <c r="D230" s="54"/>
      <c r="E230" s="55">
        <f>IFERROR(VLOOKUP(C230,'Insumos '!$A$2:$G$313,7,0),0)</f>
        <v>0</v>
      </c>
      <c r="F230" s="55">
        <f t="shared" si="7"/>
        <v>0</v>
      </c>
      <c r="G230" s="54"/>
    </row>
    <row r="231" spans="1:7" x14ac:dyDescent="0.2">
      <c r="A231" s="54"/>
      <c r="B231" s="51" t="str">
        <f t="shared" si="6"/>
        <v/>
      </c>
      <c r="C231" s="54"/>
      <c r="D231" s="54"/>
      <c r="E231" s="55">
        <f>IFERROR(VLOOKUP(C231,'Insumos '!$A$2:$G$313,7,0),0)</f>
        <v>0</v>
      </c>
      <c r="F231" s="55">
        <f t="shared" si="7"/>
        <v>0</v>
      </c>
      <c r="G231" s="54"/>
    </row>
    <row r="232" spans="1:7" x14ac:dyDescent="0.2">
      <c r="A232" s="54"/>
      <c r="B232" s="51" t="str">
        <f t="shared" si="6"/>
        <v/>
      </c>
      <c r="C232" s="54"/>
      <c r="D232" s="54"/>
      <c r="E232" s="55">
        <f>IFERROR(VLOOKUP(C232,'Insumos '!$A$2:$G$313,7,0),0)</f>
        <v>0</v>
      </c>
      <c r="F232" s="55">
        <f t="shared" si="7"/>
        <v>0</v>
      </c>
      <c r="G232" s="54"/>
    </row>
    <row r="233" spans="1:7" x14ac:dyDescent="0.2">
      <c r="A233" s="54"/>
      <c r="B233" s="51" t="str">
        <f t="shared" si="6"/>
        <v/>
      </c>
      <c r="C233" s="54"/>
      <c r="D233" s="54"/>
      <c r="E233" s="55">
        <f>IFERROR(VLOOKUP(C233,'Insumos '!$A$2:$G$313,7,0),0)</f>
        <v>0</v>
      </c>
      <c r="F233" s="55">
        <f t="shared" si="7"/>
        <v>0</v>
      </c>
      <c r="G233" s="54"/>
    </row>
    <row r="234" spans="1:7" x14ac:dyDescent="0.2">
      <c r="A234" s="54"/>
      <c r="B234" s="51" t="str">
        <f t="shared" si="6"/>
        <v/>
      </c>
      <c r="C234" s="54"/>
      <c r="D234" s="54"/>
      <c r="E234" s="55">
        <f>IFERROR(VLOOKUP(C234,'Insumos '!$A$2:$G$313,7,0),0)</f>
        <v>0</v>
      </c>
      <c r="F234" s="55">
        <f t="shared" si="7"/>
        <v>0</v>
      </c>
      <c r="G234" s="54"/>
    </row>
    <row r="235" spans="1:7" x14ac:dyDescent="0.2">
      <c r="A235" s="54"/>
      <c r="B235" s="51" t="str">
        <f t="shared" si="6"/>
        <v/>
      </c>
      <c r="C235" s="54"/>
      <c r="D235" s="54"/>
      <c r="E235" s="55">
        <f>IFERROR(VLOOKUP(C235,'Insumos '!$A$2:$G$313,7,0),0)</f>
        <v>0</v>
      </c>
      <c r="F235" s="55">
        <f t="shared" si="7"/>
        <v>0</v>
      </c>
      <c r="G235" s="54"/>
    </row>
    <row r="236" spans="1:7" x14ac:dyDescent="0.2">
      <c r="A236" s="54"/>
      <c r="B236" s="51" t="str">
        <f t="shared" si="6"/>
        <v/>
      </c>
      <c r="C236" s="54"/>
      <c r="D236" s="54"/>
      <c r="E236" s="55">
        <f>IFERROR(VLOOKUP(C236,'Insumos '!$A$2:$G$313,7,0),0)</f>
        <v>0</v>
      </c>
      <c r="F236" s="55">
        <f t="shared" si="7"/>
        <v>0</v>
      </c>
      <c r="G236" s="54"/>
    </row>
    <row r="237" spans="1:7" x14ac:dyDescent="0.2">
      <c r="A237" s="54"/>
      <c r="B237" s="51" t="str">
        <f t="shared" si="6"/>
        <v/>
      </c>
      <c r="C237" s="54"/>
      <c r="D237" s="54"/>
      <c r="E237" s="55">
        <f>IFERROR(VLOOKUP(C237,'Insumos '!$A$2:$G$313,7,0),0)</f>
        <v>0</v>
      </c>
      <c r="F237" s="55">
        <f t="shared" si="7"/>
        <v>0</v>
      </c>
      <c r="G237" s="54"/>
    </row>
    <row r="238" spans="1:7" x14ac:dyDescent="0.2">
      <c r="A238" s="54"/>
      <c r="B238" s="51" t="str">
        <f t="shared" si="6"/>
        <v/>
      </c>
      <c r="C238" s="54"/>
      <c r="D238" s="54"/>
      <c r="E238" s="55">
        <f>IFERROR(VLOOKUP(C238,'Insumos '!$A$2:$G$313,7,0),0)</f>
        <v>0</v>
      </c>
      <c r="F238" s="55">
        <f t="shared" si="7"/>
        <v>0</v>
      </c>
      <c r="G238" s="54"/>
    </row>
    <row r="239" spans="1:7" x14ac:dyDescent="0.2">
      <c r="A239" s="54"/>
      <c r="B239" s="51" t="str">
        <f t="shared" si="6"/>
        <v/>
      </c>
      <c r="C239" s="54"/>
      <c r="D239" s="54"/>
      <c r="E239" s="55">
        <f>IFERROR(VLOOKUP(C239,'Insumos '!$A$2:$G$313,7,0),0)</f>
        <v>0</v>
      </c>
      <c r="F239" s="55">
        <f t="shared" si="7"/>
        <v>0</v>
      </c>
      <c r="G239" s="54"/>
    </row>
    <row r="240" spans="1:7" x14ac:dyDescent="0.2">
      <c r="A240" s="54"/>
      <c r="B240" s="51" t="str">
        <f t="shared" si="6"/>
        <v/>
      </c>
      <c r="C240" s="54"/>
      <c r="D240" s="54"/>
      <c r="E240" s="55">
        <f>IFERROR(VLOOKUP(C240,'Insumos '!$A$2:$G$313,7,0),0)</f>
        <v>0</v>
      </c>
      <c r="F240" s="55">
        <f t="shared" si="7"/>
        <v>0</v>
      </c>
      <c r="G240" s="54"/>
    </row>
    <row r="241" spans="1:7" x14ac:dyDescent="0.2">
      <c r="A241" s="54"/>
      <c r="B241" s="51" t="str">
        <f t="shared" si="6"/>
        <v/>
      </c>
      <c r="C241" s="54"/>
      <c r="D241" s="54"/>
      <c r="E241" s="55">
        <f>IFERROR(VLOOKUP(C241,'Insumos '!$A$2:$G$313,7,0),0)</f>
        <v>0</v>
      </c>
      <c r="F241" s="55">
        <f t="shared" si="7"/>
        <v>0</v>
      </c>
      <c r="G241" s="54"/>
    </row>
    <row r="242" spans="1:7" x14ac:dyDescent="0.2">
      <c r="A242" s="54"/>
      <c r="B242" s="51" t="str">
        <f t="shared" si="6"/>
        <v/>
      </c>
      <c r="C242" s="54"/>
      <c r="D242" s="54"/>
      <c r="E242" s="55">
        <f>IFERROR(VLOOKUP(C242,'Insumos '!$A$2:$G$313,7,0),0)</f>
        <v>0</v>
      </c>
      <c r="F242" s="55">
        <f t="shared" si="7"/>
        <v>0</v>
      </c>
      <c r="G242" s="54"/>
    </row>
    <row r="243" spans="1:7" x14ac:dyDescent="0.2">
      <c r="A243" s="54"/>
      <c r="B243" s="51" t="str">
        <f t="shared" si="6"/>
        <v/>
      </c>
      <c r="C243" s="54"/>
      <c r="D243" s="54"/>
      <c r="E243" s="55">
        <f>IFERROR(VLOOKUP(C243,'Insumos '!$A$2:$G$313,7,0),0)</f>
        <v>0</v>
      </c>
      <c r="F243" s="55">
        <f t="shared" si="7"/>
        <v>0</v>
      </c>
      <c r="G243" s="54"/>
    </row>
    <row r="244" spans="1:7" x14ac:dyDescent="0.2">
      <c r="A244" s="54"/>
      <c r="B244" s="51" t="str">
        <f t="shared" si="6"/>
        <v/>
      </c>
      <c r="C244" s="54"/>
      <c r="D244" s="54"/>
      <c r="E244" s="55">
        <f>IFERROR(VLOOKUP(C244,'Insumos '!$A$2:$G$313,7,0),0)</f>
        <v>0</v>
      </c>
      <c r="F244" s="55">
        <f t="shared" si="7"/>
        <v>0</v>
      </c>
      <c r="G244" s="54"/>
    </row>
    <row r="245" spans="1:7" x14ac:dyDescent="0.2">
      <c r="A245" s="54"/>
      <c r="B245" s="51" t="str">
        <f t="shared" si="6"/>
        <v/>
      </c>
      <c r="C245" s="54"/>
      <c r="D245" s="54"/>
      <c r="E245" s="55">
        <f>IFERROR(VLOOKUP(C245,'Insumos '!$A$2:$G$313,7,0),0)</f>
        <v>0</v>
      </c>
      <c r="F245" s="55">
        <f t="shared" si="7"/>
        <v>0</v>
      </c>
      <c r="G245" s="54"/>
    </row>
    <row r="246" spans="1:7" x14ac:dyDescent="0.2">
      <c r="A246" s="54"/>
      <c r="B246" s="51" t="str">
        <f t="shared" si="6"/>
        <v/>
      </c>
      <c r="C246" s="54"/>
      <c r="D246" s="54"/>
      <c r="E246" s="55">
        <f>IFERROR(VLOOKUP(C246,'Insumos '!$A$2:$G$313,7,0),0)</f>
        <v>0</v>
      </c>
      <c r="F246" s="55">
        <f t="shared" si="7"/>
        <v>0</v>
      </c>
      <c r="G246" s="54"/>
    </row>
    <row r="247" spans="1:7" x14ac:dyDescent="0.2">
      <c r="A247" s="54"/>
      <c r="B247" s="51" t="str">
        <f t="shared" si="6"/>
        <v/>
      </c>
      <c r="C247" s="54"/>
      <c r="D247" s="54"/>
      <c r="E247" s="55">
        <f>IFERROR(VLOOKUP(C247,'Insumos '!$A$2:$G$313,7,0),0)</f>
        <v>0</v>
      </c>
      <c r="F247" s="55">
        <f t="shared" si="7"/>
        <v>0</v>
      </c>
      <c r="G247" s="54"/>
    </row>
    <row r="248" spans="1:7" x14ac:dyDescent="0.2">
      <c r="A248" s="54"/>
      <c r="B248" s="51" t="str">
        <f t="shared" si="6"/>
        <v/>
      </c>
      <c r="C248" s="54"/>
      <c r="D248" s="54"/>
      <c r="E248" s="55">
        <f>IFERROR(VLOOKUP(C248,'Insumos '!$A$2:$G$313,7,0),0)</f>
        <v>0</v>
      </c>
      <c r="F248" s="55">
        <f t="shared" si="7"/>
        <v>0</v>
      </c>
      <c r="G248" s="54"/>
    </row>
    <row r="249" spans="1:7" x14ac:dyDescent="0.2">
      <c r="A249" s="54"/>
      <c r="B249" s="51" t="str">
        <f t="shared" si="6"/>
        <v/>
      </c>
      <c r="C249" s="54"/>
      <c r="D249" s="54"/>
      <c r="E249" s="55">
        <f>IFERROR(VLOOKUP(C249,'Insumos '!$A$2:$G$313,7,0),0)</f>
        <v>0</v>
      </c>
      <c r="F249" s="55">
        <f t="shared" si="7"/>
        <v>0</v>
      </c>
      <c r="G249" s="54"/>
    </row>
    <row r="250" spans="1:7" x14ac:dyDescent="0.2">
      <c r="A250" s="54"/>
      <c r="B250" s="51" t="str">
        <f t="shared" si="6"/>
        <v/>
      </c>
      <c r="C250" s="54"/>
      <c r="D250" s="54"/>
      <c r="E250" s="55">
        <f>IFERROR(VLOOKUP(C250,'Insumos '!$A$2:$G$313,7,0),0)</f>
        <v>0</v>
      </c>
      <c r="F250" s="55">
        <f t="shared" si="7"/>
        <v>0</v>
      </c>
      <c r="G250" s="54"/>
    </row>
    <row r="251" spans="1:7" x14ac:dyDescent="0.2">
      <c r="A251" s="54"/>
      <c r="B251" s="51" t="str">
        <f t="shared" si="6"/>
        <v/>
      </c>
      <c r="C251" s="54"/>
      <c r="D251" s="54"/>
      <c r="E251" s="55">
        <f>IFERROR(VLOOKUP(C251,'Insumos '!$A$2:$G$313,7,0),0)</f>
        <v>0</v>
      </c>
      <c r="F251" s="55">
        <f t="shared" si="7"/>
        <v>0</v>
      </c>
      <c r="G251" s="54"/>
    </row>
    <row r="252" spans="1:7" x14ac:dyDescent="0.2">
      <c r="A252" s="54"/>
      <c r="B252" s="51" t="str">
        <f t="shared" si="6"/>
        <v/>
      </c>
      <c r="C252" s="54"/>
      <c r="D252" s="54"/>
      <c r="E252" s="55">
        <f>IFERROR(VLOOKUP(C252,'Insumos '!$A$2:$G$313,7,0),0)</f>
        <v>0</v>
      </c>
      <c r="F252" s="55">
        <f t="shared" si="7"/>
        <v>0</v>
      </c>
      <c r="G252" s="54"/>
    </row>
    <row r="253" spans="1:7" x14ac:dyDescent="0.2">
      <c r="A253" s="54"/>
      <c r="B253" s="51" t="str">
        <f t="shared" si="6"/>
        <v/>
      </c>
      <c r="C253" s="54"/>
      <c r="D253" s="54"/>
      <c r="E253" s="55">
        <f>IFERROR(VLOOKUP(C253,'Insumos '!$A$2:$G$313,7,0),0)</f>
        <v>0</v>
      </c>
      <c r="F253" s="55">
        <f t="shared" si="7"/>
        <v>0</v>
      </c>
      <c r="G253" s="54"/>
    </row>
    <row r="254" spans="1:7" x14ac:dyDescent="0.2">
      <c r="A254" s="54"/>
      <c r="B254" s="51" t="str">
        <f t="shared" si="6"/>
        <v/>
      </c>
      <c r="C254" s="54"/>
      <c r="D254" s="54"/>
      <c r="E254" s="55">
        <f>IFERROR(VLOOKUP(C254,'Insumos '!$A$2:$G$313,7,0),0)</f>
        <v>0</v>
      </c>
      <c r="F254" s="55">
        <f t="shared" si="7"/>
        <v>0</v>
      </c>
      <c r="G254" s="54"/>
    </row>
    <row r="255" spans="1:7" x14ac:dyDescent="0.2">
      <c r="A255" s="54"/>
      <c r="B255" s="51" t="str">
        <f t="shared" si="6"/>
        <v/>
      </c>
      <c r="C255" s="54"/>
      <c r="D255" s="54"/>
      <c r="E255" s="55">
        <f>IFERROR(VLOOKUP(C255,'Insumos '!$A$2:$G$313,7,0),0)</f>
        <v>0</v>
      </c>
      <c r="F255" s="55">
        <f t="shared" si="7"/>
        <v>0</v>
      </c>
      <c r="G255" s="54"/>
    </row>
    <row r="256" spans="1:7" x14ac:dyDescent="0.2">
      <c r="A256" s="54"/>
      <c r="B256" s="51" t="str">
        <f t="shared" si="6"/>
        <v/>
      </c>
      <c r="C256" s="54"/>
      <c r="D256" s="54"/>
      <c r="E256" s="55">
        <f>IFERROR(VLOOKUP(C256,'Insumos '!$A$2:$G$313,7,0),0)</f>
        <v>0</v>
      </c>
      <c r="F256" s="55">
        <f t="shared" si="7"/>
        <v>0</v>
      </c>
      <c r="G256" s="54"/>
    </row>
    <row r="257" spans="1:7" x14ac:dyDescent="0.2">
      <c r="A257" s="54"/>
      <c r="B257" s="51" t="str">
        <f t="shared" si="6"/>
        <v/>
      </c>
      <c r="C257" s="54"/>
      <c r="D257" s="54"/>
      <c r="E257" s="55">
        <f>IFERROR(VLOOKUP(C257,'Insumos '!$A$2:$G$313,7,0),0)</f>
        <v>0</v>
      </c>
      <c r="F257" s="55">
        <f t="shared" si="7"/>
        <v>0</v>
      </c>
      <c r="G257" s="54"/>
    </row>
    <row r="258" spans="1:7" x14ac:dyDescent="0.2">
      <c r="A258" s="54"/>
      <c r="B258" s="51" t="str">
        <f t="shared" ref="B258:B321" si="8">IF(A258="", "", PROPER(TEXT(A258, "MMMM")))</f>
        <v/>
      </c>
      <c r="C258" s="54"/>
      <c r="D258" s="54"/>
      <c r="E258" s="55">
        <f>IFERROR(VLOOKUP(C258,'Insumos '!$A$2:$G$313,7,0),0)</f>
        <v>0</v>
      </c>
      <c r="F258" s="55">
        <f t="shared" ref="F258:F321" si="9">D258*E258</f>
        <v>0</v>
      </c>
      <c r="G258" s="54"/>
    </row>
    <row r="259" spans="1:7" x14ac:dyDescent="0.2">
      <c r="A259" s="54"/>
      <c r="B259" s="51" t="str">
        <f t="shared" si="8"/>
        <v/>
      </c>
      <c r="C259" s="54"/>
      <c r="D259" s="54"/>
      <c r="E259" s="55">
        <f>IFERROR(VLOOKUP(C259,'Insumos '!$A$2:$G$313,7,0),0)</f>
        <v>0</v>
      </c>
      <c r="F259" s="55">
        <f t="shared" si="9"/>
        <v>0</v>
      </c>
      <c r="G259" s="54"/>
    </row>
    <row r="260" spans="1:7" x14ac:dyDescent="0.2">
      <c r="A260" s="54"/>
      <c r="B260" s="51" t="str">
        <f t="shared" si="8"/>
        <v/>
      </c>
      <c r="C260" s="54"/>
      <c r="D260" s="54"/>
      <c r="E260" s="55">
        <f>IFERROR(VLOOKUP(C260,'Insumos '!$A$2:$G$313,7,0),0)</f>
        <v>0</v>
      </c>
      <c r="F260" s="55">
        <f t="shared" si="9"/>
        <v>0</v>
      </c>
      <c r="G260" s="54"/>
    </row>
    <row r="261" spans="1:7" x14ac:dyDescent="0.2">
      <c r="A261" s="54"/>
      <c r="B261" s="51" t="str">
        <f t="shared" si="8"/>
        <v/>
      </c>
      <c r="C261" s="54"/>
      <c r="D261" s="54"/>
      <c r="E261" s="55">
        <f>IFERROR(VLOOKUP(C261,'Insumos '!$A$2:$G$313,7,0),0)</f>
        <v>0</v>
      </c>
      <c r="F261" s="55">
        <f t="shared" si="9"/>
        <v>0</v>
      </c>
      <c r="G261" s="54"/>
    </row>
    <row r="262" spans="1:7" x14ac:dyDescent="0.2">
      <c r="A262" s="54"/>
      <c r="B262" s="51" t="str">
        <f t="shared" si="8"/>
        <v/>
      </c>
      <c r="C262" s="54"/>
      <c r="D262" s="54"/>
      <c r="E262" s="55">
        <f>IFERROR(VLOOKUP(C262,'Insumos '!$A$2:$G$313,7,0),0)</f>
        <v>0</v>
      </c>
      <c r="F262" s="55">
        <f t="shared" si="9"/>
        <v>0</v>
      </c>
      <c r="G262" s="54"/>
    </row>
    <row r="263" spans="1:7" x14ac:dyDescent="0.2">
      <c r="A263" s="54"/>
      <c r="B263" s="51" t="str">
        <f t="shared" si="8"/>
        <v/>
      </c>
      <c r="C263" s="54"/>
      <c r="D263" s="54"/>
      <c r="E263" s="55">
        <f>IFERROR(VLOOKUP(C263,'Insumos '!$A$2:$G$313,7,0),0)</f>
        <v>0</v>
      </c>
      <c r="F263" s="55">
        <f t="shared" si="9"/>
        <v>0</v>
      </c>
      <c r="G263" s="54"/>
    </row>
    <row r="264" spans="1:7" x14ac:dyDescent="0.2">
      <c r="A264" s="54"/>
      <c r="B264" s="51" t="str">
        <f t="shared" si="8"/>
        <v/>
      </c>
      <c r="C264" s="54"/>
      <c r="D264" s="54"/>
      <c r="E264" s="55">
        <f>IFERROR(VLOOKUP(C264,'Insumos '!$A$2:$G$313,7,0),0)</f>
        <v>0</v>
      </c>
      <c r="F264" s="55">
        <f t="shared" si="9"/>
        <v>0</v>
      </c>
      <c r="G264" s="54"/>
    </row>
    <row r="265" spans="1:7" x14ac:dyDescent="0.2">
      <c r="A265" s="54"/>
      <c r="B265" s="51" t="str">
        <f t="shared" si="8"/>
        <v/>
      </c>
      <c r="C265" s="54"/>
      <c r="D265" s="54"/>
      <c r="E265" s="55">
        <f>IFERROR(VLOOKUP(C265,'Insumos '!$A$2:$G$313,7,0),0)</f>
        <v>0</v>
      </c>
      <c r="F265" s="55">
        <f t="shared" si="9"/>
        <v>0</v>
      </c>
      <c r="G265" s="54"/>
    </row>
    <row r="266" spans="1:7" x14ac:dyDescent="0.2">
      <c r="A266" s="54"/>
      <c r="B266" s="51" t="str">
        <f t="shared" si="8"/>
        <v/>
      </c>
      <c r="C266" s="54"/>
      <c r="D266" s="54"/>
      <c r="E266" s="55">
        <f>IFERROR(VLOOKUP(C266,'Insumos '!$A$2:$G$313,7,0),0)</f>
        <v>0</v>
      </c>
      <c r="F266" s="55">
        <f t="shared" si="9"/>
        <v>0</v>
      </c>
      <c r="G266" s="54"/>
    </row>
    <row r="267" spans="1:7" x14ac:dyDescent="0.2">
      <c r="A267" s="54"/>
      <c r="B267" s="51" t="str">
        <f t="shared" si="8"/>
        <v/>
      </c>
      <c r="C267" s="54"/>
      <c r="D267" s="54"/>
      <c r="E267" s="55">
        <f>IFERROR(VLOOKUP(C267,'Insumos '!$A$2:$G$313,7,0),0)</f>
        <v>0</v>
      </c>
      <c r="F267" s="55">
        <f t="shared" si="9"/>
        <v>0</v>
      </c>
      <c r="G267" s="54"/>
    </row>
    <row r="268" spans="1:7" x14ac:dyDescent="0.2">
      <c r="A268" s="54"/>
      <c r="B268" s="51" t="str">
        <f t="shared" si="8"/>
        <v/>
      </c>
      <c r="C268" s="54"/>
      <c r="D268" s="54"/>
      <c r="E268" s="55">
        <f>IFERROR(VLOOKUP(C268,'Insumos '!$A$2:$G$313,7,0),0)</f>
        <v>0</v>
      </c>
      <c r="F268" s="55">
        <f t="shared" si="9"/>
        <v>0</v>
      </c>
      <c r="G268" s="54"/>
    </row>
    <row r="269" spans="1:7" x14ac:dyDescent="0.2">
      <c r="A269" s="54"/>
      <c r="B269" s="51" t="str">
        <f t="shared" si="8"/>
        <v/>
      </c>
      <c r="C269" s="54"/>
      <c r="D269" s="54"/>
      <c r="E269" s="55">
        <f>IFERROR(VLOOKUP(C269,'Insumos '!$A$2:$G$313,7,0),0)</f>
        <v>0</v>
      </c>
      <c r="F269" s="55">
        <f t="shared" si="9"/>
        <v>0</v>
      </c>
      <c r="G269" s="54"/>
    </row>
    <row r="270" spans="1:7" x14ac:dyDescent="0.2">
      <c r="A270" s="54"/>
      <c r="B270" s="51" t="str">
        <f t="shared" si="8"/>
        <v/>
      </c>
      <c r="C270" s="54"/>
      <c r="D270" s="54"/>
      <c r="E270" s="55">
        <f>IFERROR(VLOOKUP(C270,'Insumos '!$A$2:$G$313,7,0),0)</f>
        <v>0</v>
      </c>
      <c r="F270" s="55">
        <f t="shared" si="9"/>
        <v>0</v>
      </c>
      <c r="G270" s="54"/>
    </row>
    <row r="271" spans="1:7" x14ac:dyDescent="0.2">
      <c r="A271" s="54"/>
      <c r="B271" s="51" t="str">
        <f t="shared" si="8"/>
        <v/>
      </c>
      <c r="C271" s="54"/>
      <c r="D271" s="54"/>
      <c r="E271" s="55">
        <f>IFERROR(VLOOKUP(C271,'Insumos '!$A$2:$G$313,7,0),0)</f>
        <v>0</v>
      </c>
      <c r="F271" s="55">
        <f t="shared" si="9"/>
        <v>0</v>
      </c>
      <c r="G271" s="54"/>
    </row>
    <row r="272" spans="1:7" x14ac:dyDescent="0.2">
      <c r="A272" s="54"/>
      <c r="B272" s="51" t="str">
        <f t="shared" si="8"/>
        <v/>
      </c>
      <c r="C272" s="54"/>
      <c r="D272" s="54"/>
      <c r="E272" s="55">
        <f>IFERROR(VLOOKUP(C272,'Insumos '!$A$2:$G$313,7,0),0)</f>
        <v>0</v>
      </c>
      <c r="F272" s="55">
        <f t="shared" si="9"/>
        <v>0</v>
      </c>
      <c r="G272" s="54"/>
    </row>
    <row r="273" spans="1:7" x14ac:dyDescent="0.2">
      <c r="A273" s="54"/>
      <c r="B273" s="51" t="str">
        <f t="shared" si="8"/>
        <v/>
      </c>
      <c r="C273" s="54"/>
      <c r="D273" s="54"/>
      <c r="E273" s="55">
        <f>IFERROR(VLOOKUP(C273,'Insumos '!$A$2:$G$313,7,0),0)</f>
        <v>0</v>
      </c>
      <c r="F273" s="55">
        <f t="shared" si="9"/>
        <v>0</v>
      </c>
      <c r="G273" s="54"/>
    </row>
    <row r="274" spans="1:7" x14ac:dyDescent="0.2">
      <c r="A274" s="54"/>
      <c r="B274" s="51" t="str">
        <f t="shared" si="8"/>
        <v/>
      </c>
      <c r="C274" s="54"/>
      <c r="D274" s="54"/>
      <c r="E274" s="55">
        <f>IFERROR(VLOOKUP(C274,'Insumos '!$A$2:$G$313,7,0),0)</f>
        <v>0</v>
      </c>
      <c r="F274" s="55">
        <f t="shared" si="9"/>
        <v>0</v>
      </c>
      <c r="G274" s="54"/>
    </row>
    <row r="275" spans="1:7" x14ac:dyDescent="0.2">
      <c r="A275" s="54"/>
      <c r="B275" s="51" t="str">
        <f t="shared" si="8"/>
        <v/>
      </c>
      <c r="C275" s="54"/>
      <c r="D275" s="54"/>
      <c r="E275" s="55">
        <f>IFERROR(VLOOKUP(C275,'Insumos '!$A$2:$G$313,7,0),0)</f>
        <v>0</v>
      </c>
      <c r="F275" s="55">
        <f t="shared" si="9"/>
        <v>0</v>
      </c>
      <c r="G275" s="54"/>
    </row>
    <row r="276" spans="1:7" x14ac:dyDescent="0.2">
      <c r="A276" s="54"/>
      <c r="B276" s="51" t="str">
        <f t="shared" si="8"/>
        <v/>
      </c>
      <c r="C276" s="54"/>
      <c r="D276" s="54"/>
      <c r="E276" s="55">
        <f>IFERROR(VLOOKUP(C276,'Insumos '!$A$2:$G$313,7,0),0)</f>
        <v>0</v>
      </c>
      <c r="F276" s="55">
        <f t="shared" si="9"/>
        <v>0</v>
      </c>
      <c r="G276" s="54"/>
    </row>
    <row r="277" spans="1:7" x14ac:dyDescent="0.2">
      <c r="A277" s="54"/>
      <c r="B277" s="51" t="str">
        <f t="shared" si="8"/>
        <v/>
      </c>
      <c r="C277" s="54"/>
      <c r="D277" s="54"/>
      <c r="E277" s="55">
        <f>IFERROR(VLOOKUP(C277,'Insumos '!$A$2:$G$313,7,0),0)</f>
        <v>0</v>
      </c>
      <c r="F277" s="55">
        <f t="shared" si="9"/>
        <v>0</v>
      </c>
      <c r="G277" s="54"/>
    </row>
    <row r="278" spans="1:7" x14ac:dyDescent="0.2">
      <c r="A278" s="54"/>
      <c r="B278" s="51" t="str">
        <f t="shared" si="8"/>
        <v/>
      </c>
      <c r="C278" s="54"/>
      <c r="D278" s="54"/>
      <c r="E278" s="55">
        <f>IFERROR(VLOOKUP(C278,'Insumos '!$A$2:$G$313,7,0),0)</f>
        <v>0</v>
      </c>
      <c r="F278" s="55">
        <f t="shared" si="9"/>
        <v>0</v>
      </c>
      <c r="G278" s="54"/>
    </row>
    <row r="279" spans="1:7" x14ac:dyDescent="0.2">
      <c r="A279" s="54"/>
      <c r="B279" s="51" t="str">
        <f t="shared" si="8"/>
        <v/>
      </c>
      <c r="C279" s="54"/>
      <c r="D279" s="54"/>
      <c r="E279" s="55">
        <f>IFERROR(VLOOKUP(C279,'Insumos '!$A$2:$G$313,7,0),0)</f>
        <v>0</v>
      </c>
      <c r="F279" s="55">
        <f t="shared" si="9"/>
        <v>0</v>
      </c>
      <c r="G279" s="54"/>
    </row>
    <row r="280" spans="1:7" x14ac:dyDescent="0.2">
      <c r="A280" s="54"/>
      <c r="B280" s="51" t="str">
        <f t="shared" si="8"/>
        <v/>
      </c>
      <c r="C280" s="54"/>
      <c r="D280" s="54"/>
      <c r="E280" s="55">
        <f>IFERROR(VLOOKUP(C280,'Insumos '!$A$2:$G$313,7,0),0)</f>
        <v>0</v>
      </c>
      <c r="F280" s="55">
        <f t="shared" si="9"/>
        <v>0</v>
      </c>
      <c r="G280" s="54"/>
    </row>
    <row r="281" spans="1:7" x14ac:dyDescent="0.2">
      <c r="A281" s="54"/>
      <c r="B281" s="51" t="str">
        <f t="shared" si="8"/>
        <v/>
      </c>
      <c r="C281" s="54"/>
      <c r="D281" s="54"/>
      <c r="E281" s="55">
        <f>IFERROR(VLOOKUP(C281,'Insumos '!$A$2:$G$313,7,0),0)</f>
        <v>0</v>
      </c>
      <c r="F281" s="55">
        <f t="shared" si="9"/>
        <v>0</v>
      </c>
      <c r="G281" s="54"/>
    </row>
    <row r="282" spans="1:7" x14ac:dyDescent="0.2">
      <c r="A282" s="54"/>
      <c r="B282" s="51" t="str">
        <f t="shared" si="8"/>
        <v/>
      </c>
      <c r="C282" s="54"/>
      <c r="D282" s="54"/>
      <c r="E282" s="55">
        <f>IFERROR(VLOOKUP(C282,'Insumos '!$A$2:$G$313,7,0),0)</f>
        <v>0</v>
      </c>
      <c r="F282" s="55">
        <f t="shared" si="9"/>
        <v>0</v>
      </c>
      <c r="G282" s="54"/>
    </row>
    <row r="283" spans="1:7" x14ac:dyDescent="0.2">
      <c r="A283" s="54"/>
      <c r="B283" s="51" t="str">
        <f t="shared" si="8"/>
        <v/>
      </c>
      <c r="C283" s="54"/>
      <c r="D283" s="54"/>
      <c r="E283" s="55">
        <f>IFERROR(VLOOKUP(C283,'Insumos '!$A$2:$G$313,7,0),0)</f>
        <v>0</v>
      </c>
      <c r="F283" s="55">
        <f t="shared" si="9"/>
        <v>0</v>
      </c>
      <c r="G283" s="54"/>
    </row>
    <row r="284" spans="1:7" x14ac:dyDescent="0.2">
      <c r="A284" s="54"/>
      <c r="B284" s="51" t="str">
        <f t="shared" si="8"/>
        <v/>
      </c>
      <c r="C284" s="54"/>
      <c r="D284" s="54"/>
      <c r="E284" s="55">
        <f>IFERROR(VLOOKUP(C284,'Insumos '!$A$2:$G$313,7,0),0)</f>
        <v>0</v>
      </c>
      <c r="F284" s="55">
        <f t="shared" si="9"/>
        <v>0</v>
      </c>
      <c r="G284" s="54"/>
    </row>
    <row r="285" spans="1:7" x14ac:dyDescent="0.2">
      <c r="A285" s="54"/>
      <c r="B285" s="51" t="str">
        <f t="shared" si="8"/>
        <v/>
      </c>
      <c r="C285" s="54"/>
      <c r="D285" s="54"/>
      <c r="E285" s="55">
        <f>IFERROR(VLOOKUP(C285,'Insumos '!$A$2:$G$313,7,0),0)</f>
        <v>0</v>
      </c>
      <c r="F285" s="55">
        <f t="shared" si="9"/>
        <v>0</v>
      </c>
      <c r="G285" s="54"/>
    </row>
    <row r="286" spans="1:7" x14ac:dyDescent="0.2">
      <c r="A286" s="54"/>
      <c r="B286" s="51" t="str">
        <f t="shared" si="8"/>
        <v/>
      </c>
      <c r="C286" s="54"/>
      <c r="D286" s="54"/>
      <c r="E286" s="55">
        <f>IFERROR(VLOOKUP(C286,'Insumos '!$A$2:$G$313,7,0),0)</f>
        <v>0</v>
      </c>
      <c r="F286" s="55">
        <f t="shared" si="9"/>
        <v>0</v>
      </c>
      <c r="G286" s="54"/>
    </row>
    <row r="287" spans="1:7" x14ac:dyDescent="0.2">
      <c r="A287" s="54"/>
      <c r="B287" s="51" t="str">
        <f t="shared" si="8"/>
        <v/>
      </c>
      <c r="C287" s="54"/>
      <c r="D287" s="54"/>
      <c r="E287" s="55">
        <f>IFERROR(VLOOKUP(C287,'Insumos '!$A$2:$G$313,7,0),0)</f>
        <v>0</v>
      </c>
      <c r="F287" s="55">
        <f t="shared" si="9"/>
        <v>0</v>
      </c>
      <c r="G287" s="54"/>
    </row>
    <row r="288" spans="1:7" x14ac:dyDescent="0.2">
      <c r="A288" s="54"/>
      <c r="B288" s="51" t="str">
        <f t="shared" si="8"/>
        <v/>
      </c>
      <c r="C288" s="54"/>
      <c r="D288" s="54"/>
      <c r="E288" s="55">
        <f>IFERROR(VLOOKUP(C288,'Insumos '!$A$2:$G$313,7,0),0)</f>
        <v>0</v>
      </c>
      <c r="F288" s="55">
        <f t="shared" si="9"/>
        <v>0</v>
      </c>
      <c r="G288" s="54"/>
    </row>
    <row r="289" spans="1:7" x14ac:dyDescent="0.2">
      <c r="A289" s="54"/>
      <c r="B289" s="51" t="str">
        <f t="shared" si="8"/>
        <v/>
      </c>
      <c r="C289" s="54"/>
      <c r="D289" s="54"/>
      <c r="E289" s="55">
        <f>IFERROR(VLOOKUP(C289,'Insumos '!$A$2:$G$313,7,0),0)</f>
        <v>0</v>
      </c>
      <c r="F289" s="55">
        <f t="shared" si="9"/>
        <v>0</v>
      </c>
      <c r="G289" s="54"/>
    </row>
    <row r="290" spans="1:7" x14ac:dyDescent="0.2">
      <c r="A290" s="54"/>
      <c r="B290" s="51" t="str">
        <f t="shared" si="8"/>
        <v/>
      </c>
      <c r="C290" s="54"/>
      <c r="D290" s="54"/>
      <c r="E290" s="55">
        <f>IFERROR(VLOOKUP(C290,'Insumos '!$A$2:$G$313,7,0),0)</f>
        <v>0</v>
      </c>
      <c r="F290" s="55">
        <f t="shared" si="9"/>
        <v>0</v>
      </c>
      <c r="G290" s="54"/>
    </row>
    <row r="291" spans="1:7" x14ac:dyDescent="0.2">
      <c r="A291" s="54"/>
      <c r="B291" s="51" t="str">
        <f t="shared" si="8"/>
        <v/>
      </c>
      <c r="C291" s="54"/>
      <c r="D291" s="54"/>
      <c r="E291" s="55">
        <f>IFERROR(VLOOKUP(C291,'Insumos '!$A$2:$G$313,7,0),0)</f>
        <v>0</v>
      </c>
      <c r="F291" s="55">
        <f t="shared" si="9"/>
        <v>0</v>
      </c>
      <c r="G291" s="54"/>
    </row>
    <row r="292" spans="1:7" x14ac:dyDescent="0.2">
      <c r="A292" s="54"/>
      <c r="B292" s="51" t="str">
        <f t="shared" si="8"/>
        <v/>
      </c>
      <c r="C292" s="54"/>
      <c r="D292" s="54"/>
      <c r="E292" s="55">
        <f>IFERROR(VLOOKUP(C292,'Insumos '!$A$2:$G$313,7,0),0)</f>
        <v>0</v>
      </c>
      <c r="F292" s="55">
        <f t="shared" si="9"/>
        <v>0</v>
      </c>
      <c r="G292" s="54"/>
    </row>
    <row r="293" spans="1:7" x14ac:dyDescent="0.2">
      <c r="A293" s="54"/>
      <c r="B293" s="51" t="str">
        <f t="shared" si="8"/>
        <v/>
      </c>
      <c r="C293" s="54"/>
      <c r="D293" s="54"/>
      <c r="E293" s="55">
        <f>IFERROR(VLOOKUP(C293,'Insumos '!$A$2:$G$313,7,0),0)</f>
        <v>0</v>
      </c>
      <c r="F293" s="55">
        <f t="shared" si="9"/>
        <v>0</v>
      </c>
      <c r="G293" s="54"/>
    </row>
    <row r="294" spans="1:7" x14ac:dyDescent="0.2">
      <c r="A294" s="54"/>
      <c r="B294" s="51" t="str">
        <f t="shared" si="8"/>
        <v/>
      </c>
      <c r="C294" s="54"/>
      <c r="D294" s="54"/>
      <c r="E294" s="55">
        <f>IFERROR(VLOOKUP(C294,'Insumos '!$A$2:$G$313,7,0),0)</f>
        <v>0</v>
      </c>
      <c r="F294" s="55">
        <f t="shared" si="9"/>
        <v>0</v>
      </c>
      <c r="G294" s="54"/>
    </row>
    <row r="295" spans="1:7" x14ac:dyDescent="0.2">
      <c r="A295" s="54"/>
      <c r="B295" s="51" t="str">
        <f t="shared" si="8"/>
        <v/>
      </c>
      <c r="C295" s="54"/>
      <c r="D295" s="54"/>
      <c r="E295" s="55">
        <f>IFERROR(VLOOKUP(C295,'Insumos '!$A$2:$G$313,7,0),0)</f>
        <v>0</v>
      </c>
      <c r="F295" s="55">
        <f t="shared" si="9"/>
        <v>0</v>
      </c>
      <c r="G295" s="54"/>
    </row>
    <row r="296" spans="1:7" x14ac:dyDescent="0.2">
      <c r="A296" s="54"/>
      <c r="B296" s="51" t="str">
        <f t="shared" si="8"/>
        <v/>
      </c>
      <c r="C296" s="54"/>
      <c r="D296" s="54"/>
      <c r="E296" s="55">
        <f>IFERROR(VLOOKUP(C296,'Insumos '!$A$2:$G$313,7,0),0)</f>
        <v>0</v>
      </c>
      <c r="F296" s="55">
        <f t="shared" si="9"/>
        <v>0</v>
      </c>
      <c r="G296" s="54"/>
    </row>
    <row r="297" spans="1:7" x14ac:dyDescent="0.2">
      <c r="A297" s="54"/>
      <c r="B297" s="51" t="str">
        <f t="shared" si="8"/>
        <v/>
      </c>
      <c r="C297" s="54"/>
      <c r="D297" s="54"/>
      <c r="E297" s="55">
        <f>IFERROR(VLOOKUP(C297,'Insumos '!$A$2:$G$313,7,0),0)</f>
        <v>0</v>
      </c>
      <c r="F297" s="55">
        <f t="shared" si="9"/>
        <v>0</v>
      </c>
      <c r="G297" s="54"/>
    </row>
    <row r="298" spans="1:7" x14ac:dyDescent="0.2">
      <c r="A298" s="54"/>
      <c r="B298" s="51" t="str">
        <f t="shared" si="8"/>
        <v/>
      </c>
      <c r="C298" s="54"/>
      <c r="D298" s="54"/>
      <c r="E298" s="55">
        <f>IFERROR(VLOOKUP(C298,'Insumos '!$A$2:$G$313,7,0),0)</f>
        <v>0</v>
      </c>
      <c r="F298" s="55">
        <f t="shared" si="9"/>
        <v>0</v>
      </c>
      <c r="G298" s="54"/>
    </row>
    <row r="299" spans="1:7" x14ac:dyDescent="0.2">
      <c r="A299" s="54"/>
      <c r="B299" s="51" t="str">
        <f t="shared" si="8"/>
        <v/>
      </c>
      <c r="C299" s="54"/>
      <c r="D299" s="54"/>
      <c r="E299" s="55">
        <f>IFERROR(VLOOKUP(C299,'Insumos '!$A$2:$G$313,7,0),0)</f>
        <v>0</v>
      </c>
      <c r="F299" s="55">
        <f t="shared" si="9"/>
        <v>0</v>
      </c>
      <c r="G299" s="54"/>
    </row>
    <row r="300" spans="1:7" x14ac:dyDescent="0.2">
      <c r="A300" s="54"/>
      <c r="B300" s="51" t="str">
        <f t="shared" si="8"/>
        <v/>
      </c>
      <c r="C300" s="54"/>
      <c r="D300" s="54"/>
      <c r="E300" s="55">
        <f>IFERROR(VLOOKUP(C300,'Insumos '!$A$2:$G$313,7,0),0)</f>
        <v>0</v>
      </c>
      <c r="F300" s="55">
        <f t="shared" si="9"/>
        <v>0</v>
      </c>
      <c r="G300" s="54"/>
    </row>
    <row r="301" spans="1:7" x14ac:dyDescent="0.2">
      <c r="A301" s="54"/>
      <c r="B301" s="51" t="str">
        <f t="shared" si="8"/>
        <v/>
      </c>
      <c r="C301" s="54"/>
      <c r="D301" s="54"/>
      <c r="E301" s="55">
        <f>IFERROR(VLOOKUP(C301,'Insumos '!$A$2:$G$313,7,0),0)</f>
        <v>0</v>
      </c>
      <c r="F301" s="55">
        <f t="shared" si="9"/>
        <v>0</v>
      </c>
      <c r="G301" s="54"/>
    </row>
    <row r="302" spans="1:7" x14ac:dyDescent="0.2">
      <c r="A302" s="54"/>
      <c r="B302" s="51" t="str">
        <f t="shared" si="8"/>
        <v/>
      </c>
      <c r="C302" s="54"/>
      <c r="D302" s="54"/>
      <c r="E302" s="55">
        <f>IFERROR(VLOOKUP(C302,'Insumos '!$A$2:$G$313,7,0),0)</f>
        <v>0</v>
      </c>
      <c r="F302" s="55">
        <f t="shared" si="9"/>
        <v>0</v>
      </c>
      <c r="G302" s="54"/>
    </row>
    <row r="303" spans="1:7" x14ac:dyDescent="0.2">
      <c r="A303" s="54"/>
      <c r="B303" s="51" t="str">
        <f t="shared" si="8"/>
        <v/>
      </c>
      <c r="C303" s="54"/>
      <c r="D303" s="54"/>
      <c r="E303" s="55">
        <f>IFERROR(VLOOKUP(C303,'Insumos '!$A$2:$G$313,7,0),0)</f>
        <v>0</v>
      </c>
      <c r="F303" s="55">
        <f t="shared" si="9"/>
        <v>0</v>
      </c>
      <c r="G303" s="54"/>
    </row>
    <row r="304" spans="1:7" x14ac:dyDescent="0.2">
      <c r="A304" s="54"/>
      <c r="B304" s="51" t="str">
        <f t="shared" si="8"/>
        <v/>
      </c>
      <c r="C304" s="54"/>
      <c r="D304" s="54"/>
      <c r="E304" s="55">
        <f>IFERROR(VLOOKUP(C304,'Insumos '!$A$2:$G$313,7,0),0)</f>
        <v>0</v>
      </c>
      <c r="F304" s="55">
        <f t="shared" si="9"/>
        <v>0</v>
      </c>
      <c r="G304" s="54"/>
    </row>
    <row r="305" spans="1:7" x14ac:dyDescent="0.2">
      <c r="A305" s="54"/>
      <c r="B305" s="51" t="str">
        <f t="shared" si="8"/>
        <v/>
      </c>
      <c r="C305" s="54"/>
      <c r="D305" s="54"/>
      <c r="E305" s="55">
        <f>IFERROR(VLOOKUP(C305,'Insumos '!$A$2:$G$313,7,0),0)</f>
        <v>0</v>
      </c>
      <c r="F305" s="55">
        <f t="shared" si="9"/>
        <v>0</v>
      </c>
      <c r="G305" s="54"/>
    </row>
    <row r="306" spans="1:7" x14ac:dyDescent="0.2">
      <c r="A306" s="54"/>
      <c r="B306" s="51" t="str">
        <f t="shared" si="8"/>
        <v/>
      </c>
      <c r="C306" s="54"/>
      <c r="D306" s="54"/>
      <c r="E306" s="55">
        <f>IFERROR(VLOOKUP(C306,'Insumos '!$A$2:$G$313,7,0),0)</f>
        <v>0</v>
      </c>
      <c r="F306" s="55">
        <f t="shared" si="9"/>
        <v>0</v>
      </c>
      <c r="G306" s="54"/>
    </row>
    <row r="307" spans="1:7" x14ac:dyDescent="0.2">
      <c r="A307" s="54"/>
      <c r="B307" s="51" t="str">
        <f t="shared" si="8"/>
        <v/>
      </c>
      <c r="C307" s="54"/>
      <c r="D307" s="54"/>
      <c r="E307" s="55">
        <f>IFERROR(VLOOKUP(C307,'Insumos '!$A$2:$G$313,7,0),0)</f>
        <v>0</v>
      </c>
      <c r="F307" s="55">
        <f t="shared" si="9"/>
        <v>0</v>
      </c>
      <c r="G307" s="54"/>
    </row>
    <row r="308" spans="1:7" x14ac:dyDescent="0.2">
      <c r="A308" s="54"/>
      <c r="B308" s="51" t="str">
        <f t="shared" si="8"/>
        <v/>
      </c>
      <c r="C308" s="54"/>
      <c r="D308" s="54"/>
      <c r="E308" s="55">
        <f>IFERROR(VLOOKUP(C308,'Insumos '!$A$2:$G$313,7,0),0)</f>
        <v>0</v>
      </c>
      <c r="F308" s="55">
        <f t="shared" si="9"/>
        <v>0</v>
      </c>
      <c r="G308" s="54"/>
    </row>
    <row r="309" spans="1:7" x14ac:dyDescent="0.2">
      <c r="A309" s="54"/>
      <c r="B309" s="51" t="str">
        <f t="shared" si="8"/>
        <v/>
      </c>
      <c r="C309" s="54"/>
      <c r="D309" s="54"/>
      <c r="E309" s="55">
        <f>IFERROR(VLOOKUP(C309,'Insumos '!$A$2:$G$313,7,0),0)</f>
        <v>0</v>
      </c>
      <c r="F309" s="55">
        <f t="shared" si="9"/>
        <v>0</v>
      </c>
      <c r="G309" s="54"/>
    </row>
    <row r="310" spans="1:7" x14ac:dyDescent="0.2">
      <c r="A310" s="54"/>
      <c r="B310" s="51" t="str">
        <f t="shared" si="8"/>
        <v/>
      </c>
      <c r="C310" s="54"/>
      <c r="D310" s="54"/>
      <c r="E310" s="55">
        <f>IFERROR(VLOOKUP(C310,'Insumos '!$A$2:$G$313,7,0),0)</f>
        <v>0</v>
      </c>
      <c r="F310" s="55">
        <f t="shared" si="9"/>
        <v>0</v>
      </c>
      <c r="G310" s="54"/>
    </row>
    <row r="311" spans="1:7" x14ac:dyDescent="0.2">
      <c r="A311" s="54"/>
      <c r="B311" s="51" t="str">
        <f t="shared" si="8"/>
        <v/>
      </c>
      <c r="C311" s="54"/>
      <c r="D311" s="54"/>
      <c r="E311" s="55">
        <f>IFERROR(VLOOKUP(C311,'Insumos '!$A$2:$G$313,7,0),0)</f>
        <v>0</v>
      </c>
      <c r="F311" s="55">
        <f t="shared" si="9"/>
        <v>0</v>
      </c>
      <c r="G311" s="54"/>
    </row>
    <row r="312" spans="1:7" x14ac:dyDescent="0.2">
      <c r="A312" s="54"/>
      <c r="B312" s="51" t="str">
        <f t="shared" si="8"/>
        <v/>
      </c>
      <c r="C312" s="54"/>
      <c r="D312" s="54"/>
      <c r="E312" s="55">
        <f>IFERROR(VLOOKUP(C312,'Insumos '!$A$2:$G$313,7,0),0)</f>
        <v>0</v>
      </c>
      <c r="F312" s="55">
        <f t="shared" si="9"/>
        <v>0</v>
      </c>
      <c r="G312" s="54"/>
    </row>
    <row r="313" spans="1:7" x14ac:dyDescent="0.2">
      <c r="A313" s="54"/>
      <c r="B313" s="51" t="str">
        <f t="shared" si="8"/>
        <v/>
      </c>
      <c r="C313" s="54"/>
      <c r="D313" s="54"/>
      <c r="E313" s="55">
        <f>IFERROR(VLOOKUP(C313,'Insumos '!$A$2:$G$313,7,0),0)</f>
        <v>0</v>
      </c>
      <c r="F313" s="55">
        <f t="shared" si="9"/>
        <v>0</v>
      </c>
      <c r="G313" s="54"/>
    </row>
    <row r="314" spans="1:7" x14ac:dyDescent="0.2">
      <c r="A314" s="54"/>
      <c r="B314" s="51" t="str">
        <f t="shared" si="8"/>
        <v/>
      </c>
      <c r="C314" s="54"/>
      <c r="D314" s="54"/>
      <c r="E314" s="55">
        <f>IFERROR(VLOOKUP(C314,'Insumos '!$A$2:$G$313,7,0),0)</f>
        <v>0</v>
      </c>
      <c r="F314" s="55">
        <f t="shared" si="9"/>
        <v>0</v>
      </c>
      <c r="G314" s="54"/>
    </row>
    <row r="315" spans="1:7" x14ac:dyDescent="0.2">
      <c r="A315" s="54"/>
      <c r="B315" s="51" t="str">
        <f t="shared" si="8"/>
        <v/>
      </c>
      <c r="C315" s="54"/>
      <c r="D315" s="54"/>
      <c r="E315" s="55">
        <f>IFERROR(VLOOKUP(C315,'Insumos '!$A$2:$G$313,7,0),0)</f>
        <v>0</v>
      </c>
      <c r="F315" s="55">
        <f t="shared" si="9"/>
        <v>0</v>
      </c>
      <c r="G315" s="54"/>
    </row>
    <row r="316" spans="1:7" x14ac:dyDescent="0.2">
      <c r="A316" s="54"/>
      <c r="B316" s="51" t="str">
        <f t="shared" si="8"/>
        <v/>
      </c>
      <c r="C316" s="54"/>
      <c r="D316" s="54"/>
      <c r="E316" s="55">
        <f>IFERROR(VLOOKUP(C316,'Insumos '!$A$2:$G$313,7,0),0)</f>
        <v>0</v>
      </c>
      <c r="F316" s="55">
        <f t="shared" si="9"/>
        <v>0</v>
      </c>
      <c r="G316" s="54"/>
    </row>
    <row r="317" spans="1:7" x14ac:dyDescent="0.2">
      <c r="A317" s="54"/>
      <c r="B317" s="51" t="str">
        <f t="shared" si="8"/>
        <v/>
      </c>
      <c r="C317" s="54"/>
      <c r="D317" s="54"/>
      <c r="E317" s="55">
        <f>IFERROR(VLOOKUP(C317,'Insumos '!$A$2:$G$313,7,0),0)</f>
        <v>0</v>
      </c>
      <c r="F317" s="55">
        <f t="shared" si="9"/>
        <v>0</v>
      </c>
      <c r="G317" s="54"/>
    </row>
    <row r="318" spans="1:7" x14ac:dyDescent="0.2">
      <c r="A318" s="54"/>
      <c r="B318" s="51" t="str">
        <f t="shared" si="8"/>
        <v/>
      </c>
      <c r="C318" s="54"/>
      <c r="D318" s="54"/>
      <c r="E318" s="55">
        <f>IFERROR(VLOOKUP(C318,'Insumos '!$A$2:$G$313,7,0),0)</f>
        <v>0</v>
      </c>
      <c r="F318" s="55">
        <f t="shared" si="9"/>
        <v>0</v>
      </c>
      <c r="G318" s="54"/>
    </row>
    <row r="319" spans="1:7" x14ac:dyDescent="0.2">
      <c r="A319" s="54"/>
      <c r="B319" s="51" t="str">
        <f t="shared" si="8"/>
        <v/>
      </c>
      <c r="C319" s="54"/>
      <c r="D319" s="54"/>
      <c r="E319" s="55">
        <f>IFERROR(VLOOKUP(C319,'Insumos '!$A$2:$G$313,7,0),0)</f>
        <v>0</v>
      </c>
      <c r="F319" s="55">
        <f t="shared" si="9"/>
        <v>0</v>
      </c>
      <c r="G319" s="54"/>
    </row>
    <row r="320" spans="1:7" x14ac:dyDescent="0.2">
      <c r="A320" s="54"/>
      <c r="B320" s="51" t="str">
        <f t="shared" si="8"/>
        <v/>
      </c>
      <c r="C320" s="54"/>
      <c r="D320" s="54"/>
      <c r="E320" s="55">
        <f>IFERROR(VLOOKUP(C320,'Insumos '!$A$2:$G$313,7,0),0)</f>
        <v>0</v>
      </c>
      <c r="F320" s="55">
        <f t="shared" si="9"/>
        <v>0</v>
      </c>
      <c r="G320" s="54"/>
    </row>
    <row r="321" spans="1:7" x14ac:dyDescent="0.2">
      <c r="A321" s="54"/>
      <c r="B321" s="51" t="str">
        <f t="shared" si="8"/>
        <v/>
      </c>
      <c r="C321" s="54"/>
      <c r="D321" s="54"/>
      <c r="E321" s="55">
        <f>IFERROR(VLOOKUP(C321,'Insumos '!$A$2:$G$313,7,0),0)</f>
        <v>0</v>
      </c>
      <c r="F321" s="55">
        <f t="shared" si="9"/>
        <v>0</v>
      </c>
      <c r="G321" s="54"/>
    </row>
    <row r="322" spans="1:7" x14ac:dyDescent="0.2">
      <c r="A322" s="54"/>
      <c r="B322" s="51" t="str">
        <f t="shared" ref="B322:B385" si="10">IF(A322="", "", PROPER(TEXT(A322, "MMMM")))</f>
        <v/>
      </c>
      <c r="C322" s="54"/>
      <c r="D322" s="54"/>
      <c r="E322" s="55">
        <f>IFERROR(VLOOKUP(C322,'Insumos '!$A$2:$G$313,7,0),0)</f>
        <v>0</v>
      </c>
      <c r="F322" s="55">
        <f t="shared" ref="F322:F385" si="11">D322*E322</f>
        <v>0</v>
      </c>
      <c r="G322" s="54"/>
    </row>
    <row r="323" spans="1:7" x14ac:dyDescent="0.2">
      <c r="A323" s="54"/>
      <c r="B323" s="51" t="str">
        <f t="shared" si="10"/>
        <v/>
      </c>
      <c r="C323" s="54"/>
      <c r="D323" s="54"/>
      <c r="E323" s="55">
        <f>IFERROR(VLOOKUP(C323,'Insumos '!$A$2:$G$313,7,0),0)</f>
        <v>0</v>
      </c>
      <c r="F323" s="55">
        <f t="shared" si="11"/>
        <v>0</v>
      </c>
      <c r="G323" s="54"/>
    </row>
    <row r="324" spans="1:7" x14ac:dyDescent="0.2">
      <c r="A324" s="54"/>
      <c r="B324" s="51" t="str">
        <f t="shared" si="10"/>
        <v/>
      </c>
      <c r="C324" s="54"/>
      <c r="D324" s="54"/>
      <c r="E324" s="55">
        <f>IFERROR(VLOOKUP(C324,'Insumos '!$A$2:$G$313,7,0),0)</f>
        <v>0</v>
      </c>
      <c r="F324" s="55">
        <f t="shared" si="11"/>
        <v>0</v>
      </c>
      <c r="G324" s="54"/>
    </row>
    <row r="325" spans="1:7" x14ac:dyDescent="0.2">
      <c r="A325" s="54"/>
      <c r="B325" s="51" t="str">
        <f t="shared" si="10"/>
        <v/>
      </c>
      <c r="C325" s="54"/>
      <c r="D325" s="54"/>
      <c r="E325" s="55">
        <f>IFERROR(VLOOKUP(C325,'Insumos '!$A$2:$G$313,7,0),0)</f>
        <v>0</v>
      </c>
      <c r="F325" s="55">
        <f t="shared" si="11"/>
        <v>0</v>
      </c>
      <c r="G325" s="54"/>
    </row>
    <row r="326" spans="1:7" x14ac:dyDescent="0.2">
      <c r="A326" s="54"/>
      <c r="B326" s="51" t="str">
        <f t="shared" si="10"/>
        <v/>
      </c>
      <c r="C326" s="54"/>
      <c r="D326" s="54"/>
      <c r="E326" s="55">
        <f>IFERROR(VLOOKUP(C326,'Insumos '!$A$2:$G$313,7,0),0)</f>
        <v>0</v>
      </c>
      <c r="F326" s="55">
        <f t="shared" si="11"/>
        <v>0</v>
      </c>
      <c r="G326" s="54"/>
    </row>
    <row r="327" spans="1:7" x14ac:dyDescent="0.2">
      <c r="A327" s="54"/>
      <c r="B327" s="51" t="str">
        <f t="shared" si="10"/>
        <v/>
      </c>
      <c r="C327" s="54"/>
      <c r="D327" s="54"/>
      <c r="E327" s="55">
        <f>IFERROR(VLOOKUP(C327,'Insumos '!$A$2:$G$313,7,0),0)</f>
        <v>0</v>
      </c>
      <c r="F327" s="55">
        <f t="shared" si="11"/>
        <v>0</v>
      </c>
      <c r="G327" s="54"/>
    </row>
    <row r="328" spans="1:7" x14ac:dyDescent="0.2">
      <c r="A328" s="54"/>
      <c r="B328" s="51" t="str">
        <f t="shared" si="10"/>
        <v/>
      </c>
      <c r="C328" s="54"/>
      <c r="D328" s="54"/>
      <c r="E328" s="55">
        <f>IFERROR(VLOOKUP(C328,'Insumos '!$A$2:$G$313,7,0),0)</f>
        <v>0</v>
      </c>
      <c r="F328" s="55">
        <f t="shared" si="11"/>
        <v>0</v>
      </c>
      <c r="G328" s="54"/>
    </row>
    <row r="329" spans="1:7" x14ac:dyDescent="0.2">
      <c r="A329" s="54"/>
      <c r="B329" s="51" t="str">
        <f t="shared" si="10"/>
        <v/>
      </c>
      <c r="C329" s="54"/>
      <c r="D329" s="54"/>
      <c r="E329" s="55">
        <f>IFERROR(VLOOKUP(C329,'Insumos '!$A$2:$G$313,7,0),0)</f>
        <v>0</v>
      </c>
      <c r="F329" s="55">
        <f t="shared" si="11"/>
        <v>0</v>
      </c>
      <c r="G329" s="54"/>
    </row>
    <row r="330" spans="1:7" x14ac:dyDescent="0.2">
      <c r="A330" s="54"/>
      <c r="B330" s="51" t="str">
        <f t="shared" si="10"/>
        <v/>
      </c>
      <c r="C330" s="54"/>
      <c r="D330" s="54"/>
      <c r="E330" s="55">
        <f>IFERROR(VLOOKUP(C330,'Insumos '!$A$2:$G$313,7,0),0)</f>
        <v>0</v>
      </c>
      <c r="F330" s="55">
        <f t="shared" si="11"/>
        <v>0</v>
      </c>
      <c r="G330" s="54"/>
    </row>
    <row r="331" spans="1:7" x14ac:dyDescent="0.2">
      <c r="A331" s="54"/>
      <c r="B331" s="51" t="str">
        <f t="shared" si="10"/>
        <v/>
      </c>
      <c r="C331" s="54"/>
      <c r="D331" s="54"/>
      <c r="E331" s="55">
        <f>IFERROR(VLOOKUP(C331,'Insumos '!$A$2:$G$313,7,0),0)</f>
        <v>0</v>
      </c>
      <c r="F331" s="55">
        <f t="shared" si="11"/>
        <v>0</v>
      </c>
      <c r="G331" s="54"/>
    </row>
    <row r="332" spans="1:7" x14ac:dyDescent="0.2">
      <c r="A332" s="54"/>
      <c r="B332" s="51" t="str">
        <f t="shared" si="10"/>
        <v/>
      </c>
      <c r="C332" s="54"/>
      <c r="D332" s="54"/>
      <c r="E332" s="55">
        <f>IFERROR(VLOOKUP(C332,'Insumos '!$A$2:$G$313,7,0),0)</f>
        <v>0</v>
      </c>
      <c r="F332" s="55">
        <f t="shared" si="11"/>
        <v>0</v>
      </c>
      <c r="G332" s="54"/>
    </row>
    <row r="333" spans="1:7" x14ac:dyDescent="0.2">
      <c r="A333" s="54"/>
      <c r="B333" s="51" t="str">
        <f t="shared" si="10"/>
        <v/>
      </c>
      <c r="C333" s="54"/>
      <c r="D333" s="54"/>
      <c r="E333" s="55">
        <f>IFERROR(VLOOKUP(C333,'Insumos '!$A$2:$G$313,7,0),0)</f>
        <v>0</v>
      </c>
      <c r="F333" s="55">
        <f t="shared" si="11"/>
        <v>0</v>
      </c>
      <c r="G333" s="54"/>
    </row>
    <row r="334" spans="1:7" x14ac:dyDescent="0.2">
      <c r="A334" s="54"/>
      <c r="B334" s="51" t="str">
        <f t="shared" si="10"/>
        <v/>
      </c>
      <c r="C334" s="54"/>
      <c r="D334" s="54"/>
      <c r="E334" s="55">
        <f>IFERROR(VLOOKUP(C334,'Insumos '!$A$2:$G$313,7,0),0)</f>
        <v>0</v>
      </c>
      <c r="F334" s="55">
        <f t="shared" si="11"/>
        <v>0</v>
      </c>
      <c r="G334" s="54"/>
    </row>
    <row r="335" spans="1:7" x14ac:dyDescent="0.2">
      <c r="A335" s="54"/>
      <c r="B335" s="51" t="str">
        <f t="shared" si="10"/>
        <v/>
      </c>
      <c r="C335" s="54"/>
      <c r="D335" s="54"/>
      <c r="E335" s="55">
        <f>IFERROR(VLOOKUP(C335,'Insumos '!$A$2:$G$313,7,0),0)</f>
        <v>0</v>
      </c>
      <c r="F335" s="55">
        <f t="shared" si="11"/>
        <v>0</v>
      </c>
      <c r="G335" s="54"/>
    </row>
    <row r="336" spans="1:7" x14ac:dyDescent="0.2">
      <c r="A336" s="54"/>
      <c r="B336" s="51" t="str">
        <f t="shared" si="10"/>
        <v/>
      </c>
      <c r="C336" s="54"/>
      <c r="D336" s="54"/>
      <c r="E336" s="55">
        <f>IFERROR(VLOOKUP(C336,'Insumos '!$A$2:$G$313,7,0),0)</f>
        <v>0</v>
      </c>
      <c r="F336" s="55">
        <f t="shared" si="11"/>
        <v>0</v>
      </c>
      <c r="G336" s="54"/>
    </row>
    <row r="337" spans="1:7" x14ac:dyDescent="0.2">
      <c r="A337" s="54"/>
      <c r="B337" s="51" t="str">
        <f t="shared" si="10"/>
        <v/>
      </c>
      <c r="C337" s="54"/>
      <c r="D337" s="54"/>
      <c r="E337" s="55">
        <f>IFERROR(VLOOKUP(C337,'Insumos '!$A$2:$G$313,7,0),0)</f>
        <v>0</v>
      </c>
      <c r="F337" s="55">
        <f t="shared" si="11"/>
        <v>0</v>
      </c>
      <c r="G337" s="54"/>
    </row>
    <row r="338" spans="1:7" x14ac:dyDescent="0.2">
      <c r="A338" s="54"/>
      <c r="B338" s="51" t="str">
        <f t="shared" si="10"/>
        <v/>
      </c>
      <c r="C338" s="54"/>
      <c r="D338" s="54"/>
      <c r="E338" s="55">
        <f>IFERROR(VLOOKUP(C338,'Insumos '!$A$2:$G$313,7,0),0)</f>
        <v>0</v>
      </c>
      <c r="F338" s="55">
        <f t="shared" si="11"/>
        <v>0</v>
      </c>
      <c r="G338" s="54"/>
    </row>
    <row r="339" spans="1:7" x14ac:dyDescent="0.2">
      <c r="A339" s="54"/>
      <c r="B339" s="51" t="str">
        <f t="shared" si="10"/>
        <v/>
      </c>
      <c r="C339" s="54"/>
      <c r="D339" s="54"/>
      <c r="E339" s="55">
        <f>IFERROR(VLOOKUP(C339,'Insumos '!$A$2:$G$313,7,0),0)</f>
        <v>0</v>
      </c>
      <c r="F339" s="55">
        <f t="shared" si="11"/>
        <v>0</v>
      </c>
      <c r="G339" s="54"/>
    </row>
    <row r="340" spans="1:7" x14ac:dyDescent="0.2">
      <c r="A340" s="54"/>
      <c r="B340" s="51" t="str">
        <f t="shared" si="10"/>
        <v/>
      </c>
      <c r="C340" s="54"/>
      <c r="D340" s="54"/>
      <c r="E340" s="55">
        <f>IFERROR(VLOOKUP(C340,'Insumos '!$A$2:$G$313,7,0),0)</f>
        <v>0</v>
      </c>
      <c r="F340" s="55">
        <f t="shared" si="11"/>
        <v>0</v>
      </c>
      <c r="G340" s="54"/>
    </row>
    <row r="341" spans="1:7" x14ac:dyDescent="0.2">
      <c r="A341" s="54"/>
      <c r="B341" s="51" t="str">
        <f t="shared" si="10"/>
        <v/>
      </c>
      <c r="C341" s="54"/>
      <c r="D341" s="54"/>
      <c r="E341" s="55">
        <f>IFERROR(VLOOKUP(C341,'Insumos '!$A$2:$G$313,7,0),0)</f>
        <v>0</v>
      </c>
      <c r="F341" s="55">
        <f t="shared" si="11"/>
        <v>0</v>
      </c>
      <c r="G341" s="54"/>
    </row>
    <row r="342" spans="1:7" x14ac:dyDescent="0.2">
      <c r="A342" s="54"/>
      <c r="B342" s="51" t="str">
        <f t="shared" si="10"/>
        <v/>
      </c>
      <c r="C342" s="54"/>
      <c r="D342" s="54"/>
      <c r="E342" s="55">
        <f>IFERROR(VLOOKUP(C342,'Insumos '!$A$2:$G$313,7,0),0)</f>
        <v>0</v>
      </c>
      <c r="F342" s="55">
        <f t="shared" si="11"/>
        <v>0</v>
      </c>
      <c r="G342" s="54"/>
    </row>
    <row r="343" spans="1:7" x14ac:dyDescent="0.2">
      <c r="A343" s="54"/>
      <c r="B343" s="51" t="str">
        <f t="shared" si="10"/>
        <v/>
      </c>
      <c r="C343" s="54"/>
      <c r="D343" s="54"/>
      <c r="E343" s="55">
        <f>IFERROR(VLOOKUP(C343,'Insumos '!$A$2:$G$313,7,0),0)</f>
        <v>0</v>
      </c>
      <c r="F343" s="55">
        <f t="shared" si="11"/>
        <v>0</v>
      </c>
      <c r="G343" s="54"/>
    </row>
    <row r="344" spans="1:7" x14ac:dyDescent="0.2">
      <c r="A344" s="54"/>
      <c r="B344" s="51" t="str">
        <f t="shared" si="10"/>
        <v/>
      </c>
      <c r="C344" s="54"/>
      <c r="D344" s="54"/>
      <c r="E344" s="55">
        <f>IFERROR(VLOOKUP(C344,'Insumos '!$A$2:$G$313,7,0),0)</f>
        <v>0</v>
      </c>
      <c r="F344" s="55">
        <f t="shared" si="11"/>
        <v>0</v>
      </c>
      <c r="G344" s="54"/>
    </row>
    <row r="345" spans="1:7" x14ac:dyDescent="0.2">
      <c r="A345" s="54"/>
      <c r="B345" s="51" t="str">
        <f t="shared" si="10"/>
        <v/>
      </c>
      <c r="C345" s="54"/>
      <c r="D345" s="54"/>
      <c r="E345" s="55">
        <f>IFERROR(VLOOKUP(C345,'Insumos '!$A$2:$G$313,7,0),0)</f>
        <v>0</v>
      </c>
      <c r="F345" s="55">
        <f t="shared" si="11"/>
        <v>0</v>
      </c>
      <c r="G345" s="54"/>
    </row>
    <row r="346" spans="1:7" x14ac:dyDescent="0.2">
      <c r="A346" s="54"/>
      <c r="B346" s="51" t="str">
        <f t="shared" si="10"/>
        <v/>
      </c>
      <c r="C346" s="54"/>
      <c r="D346" s="54"/>
      <c r="E346" s="55">
        <f>IFERROR(VLOOKUP(C346,'Insumos '!$A$2:$G$313,7,0),0)</f>
        <v>0</v>
      </c>
      <c r="F346" s="55">
        <f t="shared" si="11"/>
        <v>0</v>
      </c>
      <c r="G346" s="54"/>
    </row>
    <row r="347" spans="1:7" x14ac:dyDescent="0.2">
      <c r="A347" s="54"/>
      <c r="B347" s="51" t="str">
        <f t="shared" si="10"/>
        <v/>
      </c>
      <c r="C347" s="54"/>
      <c r="D347" s="54"/>
      <c r="E347" s="55">
        <f>IFERROR(VLOOKUP(C347,'Insumos '!$A$2:$G$313,7,0),0)</f>
        <v>0</v>
      </c>
      <c r="F347" s="55">
        <f t="shared" si="11"/>
        <v>0</v>
      </c>
      <c r="G347" s="54"/>
    </row>
    <row r="348" spans="1:7" x14ac:dyDescent="0.2">
      <c r="A348" s="54"/>
      <c r="B348" s="51" t="str">
        <f t="shared" si="10"/>
        <v/>
      </c>
      <c r="C348" s="54"/>
      <c r="D348" s="54"/>
      <c r="E348" s="55">
        <f>IFERROR(VLOOKUP(C348,'Insumos '!$A$2:$G$313,7,0),0)</f>
        <v>0</v>
      </c>
      <c r="F348" s="55">
        <f t="shared" si="11"/>
        <v>0</v>
      </c>
      <c r="G348" s="54"/>
    </row>
    <row r="349" spans="1:7" x14ac:dyDescent="0.2">
      <c r="A349" s="54"/>
      <c r="B349" s="51" t="str">
        <f t="shared" si="10"/>
        <v/>
      </c>
      <c r="C349" s="54"/>
      <c r="D349" s="54"/>
      <c r="E349" s="55">
        <f>IFERROR(VLOOKUP(C349,'Insumos '!$A$2:$G$313,7,0),0)</f>
        <v>0</v>
      </c>
      <c r="F349" s="55">
        <f t="shared" si="11"/>
        <v>0</v>
      </c>
      <c r="G349" s="54"/>
    </row>
    <row r="350" spans="1:7" x14ac:dyDescent="0.2">
      <c r="A350" s="54"/>
      <c r="B350" s="51" t="str">
        <f t="shared" si="10"/>
        <v/>
      </c>
      <c r="C350" s="54"/>
      <c r="D350" s="54"/>
      <c r="E350" s="55">
        <f>IFERROR(VLOOKUP(C350,'Insumos '!$A$2:$G$313,7,0),0)</f>
        <v>0</v>
      </c>
      <c r="F350" s="55">
        <f t="shared" si="11"/>
        <v>0</v>
      </c>
      <c r="G350" s="54"/>
    </row>
    <row r="351" spans="1:7" x14ac:dyDescent="0.2">
      <c r="A351" s="54"/>
      <c r="B351" s="51" t="str">
        <f t="shared" si="10"/>
        <v/>
      </c>
      <c r="C351" s="54"/>
      <c r="D351" s="54"/>
      <c r="E351" s="55">
        <f>IFERROR(VLOOKUP(C351,'Insumos '!$A$2:$G$313,7,0),0)</f>
        <v>0</v>
      </c>
      <c r="F351" s="55">
        <f t="shared" si="11"/>
        <v>0</v>
      </c>
      <c r="G351" s="54"/>
    </row>
    <row r="352" spans="1:7" x14ac:dyDescent="0.2">
      <c r="A352" s="54"/>
      <c r="B352" s="51" t="str">
        <f t="shared" si="10"/>
        <v/>
      </c>
      <c r="C352" s="54"/>
      <c r="D352" s="54"/>
      <c r="E352" s="55">
        <f>IFERROR(VLOOKUP(C352,'Insumos '!$A$2:$G$313,7,0),0)</f>
        <v>0</v>
      </c>
      <c r="F352" s="55">
        <f t="shared" si="11"/>
        <v>0</v>
      </c>
      <c r="G352" s="54"/>
    </row>
    <row r="353" spans="1:7" x14ac:dyDescent="0.2">
      <c r="A353" s="54"/>
      <c r="B353" s="51" t="str">
        <f t="shared" si="10"/>
        <v/>
      </c>
      <c r="C353" s="54"/>
      <c r="D353" s="54"/>
      <c r="E353" s="55">
        <f>IFERROR(VLOOKUP(C353,'Insumos '!$A$2:$G$313,7,0),0)</f>
        <v>0</v>
      </c>
      <c r="F353" s="55">
        <f t="shared" si="11"/>
        <v>0</v>
      </c>
      <c r="G353" s="54"/>
    </row>
    <row r="354" spans="1:7" x14ac:dyDescent="0.2">
      <c r="A354" s="54"/>
      <c r="B354" s="51" t="str">
        <f t="shared" si="10"/>
        <v/>
      </c>
      <c r="C354" s="54"/>
      <c r="D354" s="54"/>
      <c r="E354" s="55">
        <f>IFERROR(VLOOKUP(C354,'Insumos '!$A$2:$G$313,7,0),0)</f>
        <v>0</v>
      </c>
      <c r="F354" s="55">
        <f t="shared" si="11"/>
        <v>0</v>
      </c>
      <c r="G354" s="54"/>
    </row>
    <row r="355" spans="1:7" x14ac:dyDescent="0.2">
      <c r="A355" s="54"/>
      <c r="B355" s="51" t="str">
        <f t="shared" si="10"/>
        <v/>
      </c>
      <c r="C355" s="54"/>
      <c r="D355" s="54"/>
      <c r="E355" s="55">
        <f>IFERROR(VLOOKUP(C355,'Insumos '!$A$2:$G$313,7,0),0)</f>
        <v>0</v>
      </c>
      <c r="F355" s="55">
        <f t="shared" si="11"/>
        <v>0</v>
      </c>
      <c r="G355" s="54"/>
    </row>
    <row r="356" spans="1:7" x14ac:dyDescent="0.2">
      <c r="A356" s="54"/>
      <c r="B356" s="51" t="str">
        <f t="shared" si="10"/>
        <v/>
      </c>
      <c r="C356" s="54"/>
      <c r="D356" s="54"/>
      <c r="E356" s="55">
        <f>IFERROR(VLOOKUP(C356,'Insumos '!$A$2:$G$313,7,0),0)</f>
        <v>0</v>
      </c>
      <c r="F356" s="55">
        <f t="shared" si="11"/>
        <v>0</v>
      </c>
      <c r="G356" s="54"/>
    </row>
    <row r="357" spans="1:7" x14ac:dyDescent="0.2">
      <c r="A357" s="54"/>
      <c r="B357" s="51" t="str">
        <f t="shared" si="10"/>
        <v/>
      </c>
      <c r="C357" s="54"/>
      <c r="D357" s="54"/>
      <c r="E357" s="55">
        <f>IFERROR(VLOOKUP(C357,'Insumos '!$A$2:$G$313,7,0),0)</f>
        <v>0</v>
      </c>
      <c r="F357" s="55">
        <f t="shared" si="11"/>
        <v>0</v>
      </c>
      <c r="G357" s="54"/>
    </row>
    <row r="358" spans="1:7" x14ac:dyDescent="0.2">
      <c r="A358" s="54"/>
      <c r="B358" s="51" t="str">
        <f t="shared" si="10"/>
        <v/>
      </c>
      <c r="C358" s="54"/>
      <c r="D358" s="54"/>
      <c r="E358" s="55">
        <f>IFERROR(VLOOKUP(C358,'Insumos '!$A$2:$G$313,7,0),0)</f>
        <v>0</v>
      </c>
      <c r="F358" s="55">
        <f t="shared" si="11"/>
        <v>0</v>
      </c>
      <c r="G358" s="54"/>
    </row>
    <row r="359" spans="1:7" x14ac:dyDescent="0.2">
      <c r="A359" s="54"/>
      <c r="B359" s="51" t="str">
        <f t="shared" si="10"/>
        <v/>
      </c>
      <c r="C359" s="54"/>
      <c r="D359" s="54"/>
      <c r="E359" s="55">
        <f>IFERROR(VLOOKUP(C359,'Insumos '!$A$2:$G$313,7,0),0)</f>
        <v>0</v>
      </c>
      <c r="F359" s="55">
        <f t="shared" si="11"/>
        <v>0</v>
      </c>
      <c r="G359" s="54"/>
    </row>
    <row r="360" spans="1:7" x14ac:dyDescent="0.2">
      <c r="A360" s="54"/>
      <c r="B360" s="51" t="str">
        <f t="shared" si="10"/>
        <v/>
      </c>
      <c r="C360" s="54"/>
      <c r="D360" s="54"/>
      <c r="E360" s="55">
        <f>IFERROR(VLOOKUP(C360,'Insumos '!$A$2:$G$313,7,0),0)</f>
        <v>0</v>
      </c>
      <c r="F360" s="55">
        <f t="shared" si="11"/>
        <v>0</v>
      </c>
      <c r="G360" s="54"/>
    </row>
    <row r="361" spans="1:7" x14ac:dyDescent="0.2">
      <c r="A361" s="54"/>
      <c r="B361" s="51" t="str">
        <f t="shared" si="10"/>
        <v/>
      </c>
      <c r="C361" s="54"/>
      <c r="D361" s="54"/>
      <c r="E361" s="55">
        <f>IFERROR(VLOOKUP(C361,'Insumos '!$A$2:$G$313,7,0),0)</f>
        <v>0</v>
      </c>
      <c r="F361" s="55">
        <f t="shared" si="11"/>
        <v>0</v>
      </c>
      <c r="G361" s="54"/>
    </row>
    <row r="362" spans="1:7" x14ac:dyDescent="0.2">
      <c r="A362" s="54"/>
      <c r="B362" s="51" t="str">
        <f t="shared" si="10"/>
        <v/>
      </c>
      <c r="C362" s="54"/>
      <c r="D362" s="54"/>
      <c r="E362" s="55">
        <f>IFERROR(VLOOKUP(C362,'Insumos '!$A$2:$G$313,7,0),0)</f>
        <v>0</v>
      </c>
      <c r="F362" s="55">
        <f t="shared" si="11"/>
        <v>0</v>
      </c>
      <c r="G362" s="54"/>
    </row>
    <row r="363" spans="1:7" x14ac:dyDescent="0.2">
      <c r="A363" s="54"/>
      <c r="B363" s="51" t="str">
        <f t="shared" si="10"/>
        <v/>
      </c>
      <c r="C363" s="54"/>
      <c r="D363" s="54"/>
      <c r="E363" s="55">
        <f>IFERROR(VLOOKUP(C363,'Insumos '!$A$2:$G$313,7,0),0)</f>
        <v>0</v>
      </c>
      <c r="F363" s="55">
        <f t="shared" si="11"/>
        <v>0</v>
      </c>
      <c r="G363" s="54"/>
    </row>
    <row r="364" spans="1:7" x14ac:dyDescent="0.2">
      <c r="A364" s="54"/>
      <c r="B364" s="51" t="str">
        <f t="shared" si="10"/>
        <v/>
      </c>
      <c r="C364" s="54"/>
      <c r="D364" s="54"/>
      <c r="E364" s="55">
        <f>IFERROR(VLOOKUP(C364,'Insumos '!$A$2:$G$313,7,0),0)</f>
        <v>0</v>
      </c>
      <c r="F364" s="55">
        <f t="shared" si="11"/>
        <v>0</v>
      </c>
      <c r="G364" s="54"/>
    </row>
    <row r="365" spans="1:7" x14ac:dyDescent="0.2">
      <c r="A365" s="54"/>
      <c r="B365" s="51" t="str">
        <f t="shared" si="10"/>
        <v/>
      </c>
      <c r="C365" s="54"/>
      <c r="D365" s="54"/>
      <c r="E365" s="55">
        <f>IFERROR(VLOOKUP(C365,'Insumos '!$A$2:$G$313,7,0),0)</f>
        <v>0</v>
      </c>
      <c r="F365" s="55">
        <f t="shared" si="11"/>
        <v>0</v>
      </c>
      <c r="G365" s="54"/>
    </row>
    <row r="366" spans="1:7" x14ac:dyDescent="0.2">
      <c r="A366" s="54"/>
      <c r="B366" s="51" t="str">
        <f t="shared" si="10"/>
        <v/>
      </c>
      <c r="C366" s="54"/>
      <c r="D366" s="54"/>
      <c r="E366" s="55">
        <f>IFERROR(VLOOKUP(C366,'Insumos '!$A$2:$G$313,7,0),0)</f>
        <v>0</v>
      </c>
      <c r="F366" s="55">
        <f t="shared" si="11"/>
        <v>0</v>
      </c>
      <c r="G366" s="54"/>
    </row>
    <row r="367" spans="1:7" x14ac:dyDescent="0.2">
      <c r="A367" s="54"/>
      <c r="B367" s="51" t="str">
        <f t="shared" si="10"/>
        <v/>
      </c>
      <c r="C367" s="54"/>
      <c r="D367" s="54"/>
      <c r="E367" s="55">
        <f>IFERROR(VLOOKUP(C367,'Insumos '!$A$2:$G$313,7,0),0)</f>
        <v>0</v>
      </c>
      <c r="F367" s="55">
        <f t="shared" si="11"/>
        <v>0</v>
      </c>
      <c r="G367" s="54"/>
    </row>
    <row r="368" spans="1:7" x14ac:dyDescent="0.2">
      <c r="A368" s="54"/>
      <c r="B368" s="51" t="str">
        <f t="shared" si="10"/>
        <v/>
      </c>
      <c r="C368" s="54"/>
      <c r="D368" s="54"/>
      <c r="E368" s="55">
        <f>IFERROR(VLOOKUP(C368,'Insumos '!$A$2:$G$313,7,0),0)</f>
        <v>0</v>
      </c>
      <c r="F368" s="55">
        <f t="shared" si="11"/>
        <v>0</v>
      </c>
      <c r="G368" s="54"/>
    </row>
    <row r="369" spans="1:7" x14ac:dyDescent="0.2">
      <c r="A369" s="54"/>
      <c r="B369" s="51" t="str">
        <f t="shared" si="10"/>
        <v/>
      </c>
      <c r="C369" s="54"/>
      <c r="D369" s="54"/>
      <c r="E369" s="55">
        <f>IFERROR(VLOOKUP(C369,'Insumos '!$A$2:$G$313,7,0),0)</f>
        <v>0</v>
      </c>
      <c r="F369" s="55">
        <f t="shared" si="11"/>
        <v>0</v>
      </c>
      <c r="G369" s="54"/>
    </row>
    <row r="370" spans="1:7" x14ac:dyDescent="0.2">
      <c r="A370" s="54"/>
      <c r="B370" s="51" t="str">
        <f t="shared" si="10"/>
        <v/>
      </c>
      <c r="C370" s="54"/>
      <c r="D370" s="54"/>
      <c r="E370" s="55">
        <f>IFERROR(VLOOKUP(C370,'Insumos '!$A$2:$G$313,7,0),0)</f>
        <v>0</v>
      </c>
      <c r="F370" s="55">
        <f t="shared" si="11"/>
        <v>0</v>
      </c>
      <c r="G370" s="54"/>
    </row>
    <row r="371" spans="1:7" x14ac:dyDescent="0.2">
      <c r="A371" s="54"/>
      <c r="B371" s="51" t="str">
        <f t="shared" si="10"/>
        <v/>
      </c>
      <c r="C371" s="54"/>
      <c r="D371" s="54"/>
      <c r="E371" s="55">
        <f>IFERROR(VLOOKUP(C371,'Insumos '!$A$2:$G$313,7,0),0)</f>
        <v>0</v>
      </c>
      <c r="F371" s="55">
        <f t="shared" si="11"/>
        <v>0</v>
      </c>
      <c r="G371" s="54"/>
    </row>
    <row r="372" spans="1:7" x14ac:dyDescent="0.2">
      <c r="A372" s="54"/>
      <c r="B372" s="51" t="str">
        <f t="shared" si="10"/>
        <v/>
      </c>
      <c r="C372" s="54"/>
      <c r="D372" s="54"/>
      <c r="E372" s="55">
        <f>IFERROR(VLOOKUP(C372,'Insumos '!$A$2:$G$313,7,0),0)</f>
        <v>0</v>
      </c>
      <c r="F372" s="55">
        <f t="shared" si="11"/>
        <v>0</v>
      </c>
      <c r="G372" s="54"/>
    </row>
    <row r="373" spans="1:7" x14ac:dyDescent="0.2">
      <c r="A373" s="54"/>
      <c r="B373" s="51" t="str">
        <f t="shared" si="10"/>
        <v/>
      </c>
      <c r="C373" s="54"/>
      <c r="D373" s="54"/>
      <c r="E373" s="55">
        <f>IFERROR(VLOOKUP(C373,'Insumos '!$A$2:$G$313,7,0),0)</f>
        <v>0</v>
      </c>
      <c r="F373" s="55">
        <f t="shared" si="11"/>
        <v>0</v>
      </c>
      <c r="G373" s="54"/>
    </row>
    <row r="374" spans="1:7" x14ac:dyDescent="0.2">
      <c r="A374" s="54"/>
      <c r="B374" s="51" t="str">
        <f t="shared" si="10"/>
        <v/>
      </c>
      <c r="C374" s="54"/>
      <c r="D374" s="54"/>
      <c r="E374" s="55">
        <f>IFERROR(VLOOKUP(C374,'Insumos '!$A$2:$G$313,7,0),0)</f>
        <v>0</v>
      </c>
      <c r="F374" s="55">
        <f t="shared" si="11"/>
        <v>0</v>
      </c>
      <c r="G374" s="54"/>
    </row>
    <row r="375" spans="1:7" x14ac:dyDescent="0.2">
      <c r="A375" s="54"/>
      <c r="B375" s="51" t="str">
        <f t="shared" si="10"/>
        <v/>
      </c>
      <c r="C375" s="54"/>
      <c r="D375" s="54"/>
      <c r="E375" s="55">
        <f>IFERROR(VLOOKUP(C375,'Insumos '!$A$2:$G$313,7,0),0)</f>
        <v>0</v>
      </c>
      <c r="F375" s="55">
        <f t="shared" si="11"/>
        <v>0</v>
      </c>
      <c r="G375" s="54"/>
    </row>
    <row r="376" spans="1:7" x14ac:dyDescent="0.2">
      <c r="A376" s="54"/>
      <c r="B376" s="51" t="str">
        <f t="shared" si="10"/>
        <v/>
      </c>
      <c r="C376" s="54"/>
      <c r="D376" s="54"/>
      <c r="E376" s="55">
        <f>IFERROR(VLOOKUP(C376,'Insumos '!$A$2:$G$313,7,0),0)</f>
        <v>0</v>
      </c>
      <c r="F376" s="55">
        <f t="shared" si="11"/>
        <v>0</v>
      </c>
      <c r="G376" s="54"/>
    </row>
    <row r="377" spans="1:7" x14ac:dyDescent="0.2">
      <c r="A377" s="54"/>
      <c r="B377" s="51" t="str">
        <f t="shared" si="10"/>
        <v/>
      </c>
      <c r="C377" s="54"/>
      <c r="D377" s="54"/>
      <c r="E377" s="55">
        <f>IFERROR(VLOOKUP(C377,'Insumos '!$A$2:$G$313,7,0),0)</f>
        <v>0</v>
      </c>
      <c r="F377" s="55">
        <f t="shared" si="11"/>
        <v>0</v>
      </c>
      <c r="G377" s="54"/>
    </row>
    <row r="378" spans="1:7" x14ac:dyDescent="0.2">
      <c r="A378" s="54"/>
      <c r="B378" s="51" t="str">
        <f t="shared" si="10"/>
        <v/>
      </c>
      <c r="C378" s="54"/>
      <c r="D378" s="54"/>
      <c r="E378" s="55">
        <f>IFERROR(VLOOKUP(C378,'Insumos '!$A$2:$G$313,7,0),0)</f>
        <v>0</v>
      </c>
      <c r="F378" s="55">
        <f t="shared" si="11"/>
        <v>0</v>
      </c>
      <c r="G378" s="54"/>
    </row>
    <row r="379" spans="1:7" x14ac:dyDescent="0.2">
      <c r="A379" s="54"/>
      <c r="B379" s="51" t="str">
        <f t="shared" si="10"/>
        <v/>
      </c>
      <c r="C379" s="54"/>
      <c r="D379" s="54"/>
      <c r="E379" s="55">
        <f>IFERROR(VLOOKUP(C379,'Insumos '!$A$2:$G$313,7,0),0)</f>
        <v>0</v>
      </c>
      <c r="F379" s="55">
        <f t="shared" si="11"/>
        <v>0</v>
      </c>
      <c r="G379" s="54"/>
    </row>
    <row r="380" spans="1:7" x14ac:dyDescent="0.2">
      <c r="A380" s="54"/>
      <c r="B380" s="51" t="str">
        <f t="shared" si="10"/>
        <v/>
      </c>
      <c r="C380" s="54"/>
      <c r="D380" s="54"/>
      <c r="E380" s="55">
        <f>IFERROR(VLOOKUP(C380,'Insumos '!$A$2:$G$313,7,0),0)</f>
        <v>0</v>
      </c>
      <c r="F380" s="55">
        <f t="shared" si="11"/>
        <v>0</v>
      </c>
      <c r="G380" s="54"/>
    </row>
    <row r="381" spans="1:7" x14ac:dyDescent="0.2">
      <c r="A381" s="54"/>
      <c r="B381" s="51" t="str">
        <f t="shared" si="10"/>
        <v/>
      </c>
      <c r="C381" s="54"/>
      <c r="D381" s="54"/>
      <c r="E381" s="55">
        <f>IFERROR(VLOOKUP(C381,'Insumos '!$A$2:$G$313,7,0),0)</f>
        <v>0</v>
      </c>
      <c r="F381" s="55">
        <f t="shared" si="11"/>
        <v>0</v>
      </c>
      <c r="G381" s="54"/>
    </row>
    <row r="382" spans="1:7" x14ac:dyDescent="0.2">
      <c r="A382" s="54"/>
      <c r="B382" s="51" t="str">
        <f t="shared" si="10"/>
        <v/>
      </c>
      <c r="C382" s="54"/>
      <c r="D382" s="54"/>
      <c r="E382" s="55">
        <f>IFERROR(VLOOKUP(C382,'Insumos '!$A$2:$G$313,7,0),0)</f>
        <v>0</v>
      </c>
      <c r="F382" s="55">
        <f t="shared" si="11"/>
        <v>0</v>
      </c>
      <c r="G382" s="54"/>
    </row>
    <row r="383" spans="1:7" x14ac:dyDescent="0.2">
      <c r="A383" s="54"/>
      <c r="B383" s="51" t="str">
        <f t="shared" si="10"/>
        <v/>
      </c>
      <c r="C383" s="54"/>
      <c r="D383" s="54"/>
      <c r="E383" s="55">
        <f>IFERROR(VLOOKUP(C383,'Insumos '!$A$2:$G$313,7,0),0)</f>
        <v>0</v>
      </c>
      <c r="F383" s="55">
        <f t="shared" si="11"/>
        <v>0</v>
      </c>
      <c r="G383" s="54"/>
    </row>
    <row r="384" spans="1:7" x14ac:dyDescent="0.2">
      <c r="A384" s="54"/>
      <c r="B384" s="51" t="str">
        <f t="shared" si="10"/>
        <v/>
      </c>
      <c r="C384" s="54"/>
      <c r="D384" s="54"/>
      <c r="E384" s="55">
        <f>IFERROR(VLOOKUP(C384,'Insumos '!$A$2:$G$313,7,0),0)</f>
        <v>0</v>
      </c>
      <c r="F384" s="55">
        <f t="shared" si="11"/>
        <v>0</v>
      </c>
      <c r="G384" s="54"/>
    </row>
    <row r="385" spans="1:7" x14ac:dyDescent="0.2">
      <c r="A385" s="54"/>
      <c r="B385" s="51" t="str">
        <f t="shared" si="10"/>
        <v/>
      </c>
      <c r="C385" s="54"/>
      <c r="D385" s="54"/>
      <c r="E385" s="55">
        <f>IFERROR(VLOOKUP(C385,'Insumos '!$A$2:$G$313,7,0),0)</f>
        <v>0</v>
      </c>
      <c r="F385" s="55">
        <f t="shared" si="11"/>
        <v>0</v>
      </c>
      <c r="G385" s="54"/>
    </row>
    <row r="386" spans="1:7" x14ac:dyDescent="0.2">
      <c r="A386" s="54"/>
      <c r="B386" s="51" t="str">
        <f t="shared" ref="B386:B449" si="12">IF(A386="", "", PROPER(TEXT(A386, "MMMM")))</f>
        <v/>
      </c>
      <c r="C386" s="54"/>
      <c r="D386" s="54"/>
      <c r="E386" s="55">
        <f>IFERROR(VLOOKUP(C386,'Insumos '!$A$2:$G$313,7,0),0)</f>
        <v>0</v>
      </c>
      <c r="F386" s="55">
        <f t="shared" ref="F386:F449" si="13">D386*E386</f>
        <v>0</v>
      </c>
      <c r="G386" s="54"/>
    </row>
    <row r="387" spans="1:7" x14ac:dyDescent="0.2">
      <c r="A387" s="54"/>
      <c r="B387" s="51" t="str">
        <f t="shared" si="12"/>
        <v/>
      </c>
      <c r="C387" s="54"/>
      <c r="D387" s="54"/>
      <c r="E387" s="55">
        <f>IFERROR(VLOOKUP(C387,'Insumos '!$A$2:$G$313,7,0),0)</f>
        <v>0</v>
      </c>
      <c r="F387" s="55">
        <f t="shared" si="13"/>
        <v>0</v>
      </c>
      <c r="G387" s="54"/>
    </row>
  </sheetData>
  <autoFilter ref="A1:G387" xr:uid="{00000000-0009-0000-0000-000005000000}"/>
  <dataValidations count="1">
    <dataValidation type="list" allowBlank="1" showErrorMessage="1" sqref="G2:G387" xr:uid="{00000000-0002-0000-0500-000001000000}">
      <formula1>"Vencido,Mal estado ,No se vendio ,Error de produccion ,Sobrante mise en place"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'Insumos '!$A$2:$A$313</xm:f>
          </x14:formula1>
          <xm:sqref>C2:C387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Insumos </vt:lpstr>
      <vt:lpstr>Recetas</vt:lpstr>
      <vt:lpstr>Margenes por producto </vt:lpstr>
      <vt:lpstr>Mermas por producto</vt:lpstr>
      <vt:lpstr>Control de desperdicio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2026-09-16T14:12:57Z</dcterms:created>
  <dcterms:modified xsi:type="dcterms:W3CDTF">2026-09-16T14:12:59Z</dcterms:modified>
</cp:coreProperties>
</file>