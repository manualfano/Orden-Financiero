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 10 fórmulas" sheetId="1" state="visible" r:id="rId1"/>
    <sheet xmlns:r="http://schemas.openxmlformats.org/officeDocument/2006/relationships" name="Tus núme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"/>
    <numFmt numFmtId="165" formatCode="0 &quot;días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0D2B6B"/>
      <sz val="18"/>
    </font>
    <font>
      <name val="Arial"/>
      <color rgb="006B6E76"/>
      <sz val="10"/>
    </font>
    <font>
      <name val="Arial"/>
      <b val="1"/>
      <color rgb="000C66E4"/>
      <sz val="11"/>
    </font>
    <font>
      <name val="Arial"/>
      <b val="1"/>
      <color rgb="000D2B6B"/>
      <sz val="10"/>
    </font>
    <font>
      <name val="Arial"/>
      <color rgb="00000000"/>
      <sz val="11"/>
    </font>
    <font>
      <name val="Arial"/>
      <color rgb="006B6E76"/>
      <sz val="9"/>
    </font>
    <font>
      <name val="Arial"/>
      <sz val="11"/>
    </font>
    <font>
      <name val="Arial"/>
      <b val="1"/>
      <color rgb="00FFFFFF"/>
      <sz val="10"/>
    </font>
    <font>
      <name val="Arial"/>
      <color rgb="002C2E33"/>
      <sz val="10"/>
    </font>
    <font>
      <name val="Arial"/>
      <b val="1"/>
      <color rgb="000C66E4"/>
      <sz val="12"/>
    </font>
    <font>
      <name val="Arial"/>
      <i val="1"/>
      <color rgb="006B6E76"/>
      <sz val="10"/>
    </font>
    <font>
      <name val="Arial"/>
      <b val="1"/>
      <color rgb="000D2B6B"/>
      <sz val="13"/>
    </font>
    <font>
      <name val="Arial"/>
      <b val="1"/>
      <color rgb="000C66E4"/>
      <sz val="10"/>
    </font>
  </fonts>
  <fills count="5">
    <fill>
      <patternFill/>
    </fill>
    <fill>
      <patternFill patternType="gray125"/>
    </fill>
    <fill>
      <patternFill patternType="solid">
        <fgColor rgb="00E9F2FF"/>
      </patternFill>
    </fill>
    <fill>
      <patternFill patternType="solid">
        <fgColor rgb="000D2B6B"/>
      </patternFill>
    </fill>
    <fill>
      <patternFill patternType="solid">
        <fgColor rgb="00F7F8F9"/>
      </patternFill>
    </fill>
  </fills>
  <borders count="2">
    <border>
      <left/>
      <right/>
      <top/>
      <bottom/>
      <diagonal/>
    </border>
    <border>
      <bottom style="thin">
        <color rgb="00DCDF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166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2" fontId="12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0" fontId="13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vertical="center" wrapText="1"/>
    </xf>
    <xf numFmtId="165" fontId="5" fillId="2" borderId="1" applyAlignment="1" pivotButton="0" quotePrefix="0" xfId="0">
      <alignment horizontal="right"/>
    </xf>
    <xf numFmtId="166" fontId="7" fillId="2" borderId="1" pivotButton="0" quotePrefix="0" xfId="0"/>
    <xf numFmtId="164" fontId="7" fillId="2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40" customWidth="1" min="4" max="4"/>
    <col width="40" customWidth="1" min="5" max="5"/>
    <col width="18" customWidth="1" min="6" max="6"/>
    <col width="52" customWidth="1" min="7" max="7"/>
  </cols>
  <sheetData>
    <row r="2">
      <c r="B2" s="1" t="inlineStr">
        <is>
          <t>Las 10 fórmulas financieras de tu restaurante</t>
        </is>
      </c>
    </row>
    <row r="3">
      <c r="B3" s="2" t="inlineStr">
        <is>
          <t>Se calculan solas con lo que cargues en la hoja "Tus números". Guía completa: ordenfinanciero.com/guias/formulas-financieras</t>
        </is>
      </c>
    </row>
    <row r="5" ht="22" customHeight="1">
      <c r="B5" s="3" t="inlineStr">
        <is>
          <t>#</t>
        </is>
      </c>
      <c r="C5" s="3" t="inlineStr">
        <is>
          <t>Fórmula</t>
        </is>
      </c>
      <c r="D5" s="3" t="inlineStr">
        <is>
          <t>Te responde</t>
        </is>
      </c>
      <c r="E5" s="3" t="inlineStr">
        <is>
          <t>Cuenta</t>
        </is>
      </c>
      <c r="F5" s="3" t="inlineStr">
        <is>
          <t>Tu resultado</t>
        </is>
      </c>
      <c r="G5" s="3" t="inlineStr">
        <is>
          <t>Cómo leerlo</t>
        </is>
      </c>
    </row>
    <row r="6" ht="48" customHeight="1">
      <c r="B6" s="4" t="n">
        <v>1</v>
      </c>
      <c r="C6" s="5" t="inlineStr">
        <is>
          <t>Margen bruto</t>
        </is>
      </c>
      <c r="D6" s="6" t="inlineStr">
        <is>
          <t>¿Cuánto te queda después de la mercadería?</t>
        </is>
      </c>
      <c r="E6" s="7" t="inlineStr">
        <is>
          <t>(Ventas − Mercadería) ÷ Ventas × 100</t>
        </is>
      </c>
      <c r="F6" s="8">
        <f>IFERROR(('Tus números'!$C$7-'Tus números'!$C$8)/'Tus números'!$C$7,"")</f>
        <v/>
      </c>
      <c r="G6" s="6">
        <f>IF(F6="","Cargá ventas y CMV.",IF(F6&gt;=0.65,"Bien: la mercadería se lleva "&amp;TEXT(1-F6,"0%")&amp;" o menos de cada venta.","Ojo: la mercadería se lleva "&amp;TEXT(1-F6,"0%")&amp;" de cada venta. Revisá costos y precios."))</f>
        <v/>
      </c>
    </row>
    <row r="7" ht="48" customHeight="1">
      <c r="B7" s="4" t="n">
        <v>2</v>
      </c>
      <c r="C7" s="5" t="inlineStr">
        <is>
          <t>Margen de contribución (un producto)</t>
        </is>
      </c>
      <c r="D7" s="6" t="inlineStr">
        <is>
          <t>Lo que deja ese producto para pagar los costos fijos y ganar.</t>
        </is>
      </c>
      <c r="E7" s="7" t="inlineStr">
        <is>
          <t>(Precio − Lo que te cuesta hacerlo) ÷ Precio × 100</t>
        </is>
      </c>
      <c r="F7" s="8">
        <f>IFERROR(('Tus números'!$C$14-'Tus números'!$C$15)/'Tus números'!$C$14,"")</f>
        <v/>
      </c>
      <c r="G7" s="6">
        <f>IF(F7="","Cargá precio y costo.","De cada $100 que cobrás por ese producto, te quedan $"&amp;TEXT(F7*100,"0")&amp;" para los fijos y la ganancia.")</f>
        <v/>
      </c>
    </row>
    <row r="8" ht="48" customHeight="1">
      <c r="B8" s="4" t="n">
        <v>3</v>
      </c>
      <c r="C8" s="5" t="inlineStr">
        <is>
          <t>EBITDA</t>
        </is>
      </c>
      <c r="D8" s="6" t="inlineStr">
        <is>
          <t>¿Cuánto gana el local con su trabajo, antes de intereses, impuestos y desgaste de equipos?</t>
        </is>
      </c>
      <c r="E8" s="7" t="inlineStr">
        <is>
          <t>Ganancia del local + Desgaste de los equipos</t>
        </is>
      </c>
      <c r="F8" s="9">
        <f>('Tus números'!$C$7-('Tus números'!$C$8+'Tus números'!$C$9)-'Tus números'!$C$10-'Tus números'!$C$11)+'Tus números'!$C$11</f>
        <v/>
      </c>
      <c r="G8" s="6">
        <f>IFERROR(IF(F8&lt;=0,"Negativo: la operación no se paga sola.","Es el "&amp;TEXT(F8/'Tus números'!$C$7,"0%")&amp;" de las ventas."),"")</f>
        <v/>
      </c>
    </row>
    <row r="9" ht="48" customHeight="1">
      <c r="B9" s="4" t="n">
        <v>4</v>
      </c>
      <c r="C9" s="5" t="inlineStr">
        <is>
          <t>Punto de equilibrio</t>
        </is>
      </c>
      <c r="D9" s="6" t="inlineStr">
        <is>
          <t>Cuánto tenés que vender por mes para no ganar ni perder.</t>
        </is>
      </c>
      <c r="E9" s="7" t="inlineStr">
        <is>
          <t>Gastos fijos ÷ Margen de todo el local</t>
        </is>
      </c>
      <c r="F9" s="9">
        <f>IFERROR(('Tus números'!$C$10+'Tus números'!$C$11)/(1-('Tus números'!$C$8+'Tus números'!$C$9)/'Tus números'!$C$7),"")</f>
        <v/>
      </c>
      <c r="G9" s="6">
        <f>IFERROR(IF((1-('Tus números'!$C$8+'Tus números'!$C$9)/'Tus números'!$C$7)&lt;=0,"Cada venta te hace perder: revisá precios.",IF('Tus números'!$C$7&gt;=F9,"Vendés "&amp;TEXT('Tus números'!$C$7/F9-1,"0%")&amp;" arriba del piso.","Estás "&amp;TEXT(1-'Tus números'!$C$7/F9,"0%")&amp;" abajo del piso: el mes da pérdida.")),"")</f>
        <v/>
      </c>
    </row>
    <row r="10" ht="48" customHeight="1">
      <c r="B10" s="4" t="n">
        <v>5</v>
      </c>
      <c r="C10" s="5" t="inlineStr">
        <is>
          <t>Prueba ácida</t>
        </is>
      </c>
      <c r="D10" s="6" t="inlineStr">
        <is>
          <t>¿Te alcanza para pagar lo que debés, sin contar la mercadería?</t>
        </is>
      </c>
      <c r="E10" s="7" t="inlineStr">
        <is>
          <t>(Caja y banco + Lo que te deben) ÷ Lo que tenés que pagar este año</t>
        </is>
      </c>
      <c r="F10" s="10">
        <f>IFERROR(('Tus números'!$C$18+'Tus números'!$C$19)/'Tus números'!$C$20,"")</f>
        <v/>
      </c>
      <c r="G10" s="6">
        <f>IF(F10="","Cargá tu plata, lo que te deben y lo que debés.",IF(F10&gt;=1,"Más de 1: estás cubierto.","Menos de 1: hoy no te alcanza para pagar todo lo que vence este año."))</f>
        <v/>
      </c>
    </row>
    <row r="11" ht="48" customHeight="1">
      <c r="B11" s="4" t="n">
        <v>6</v>
      </c>
      <c r="C11" s="5" t="inlineStr">
        <is>
          <t>Ciclo de caja</t>
        </is>
      </c>
      <c r="D11" s="6" t="inlineStr">
        <is>
          <t>¿En cuántos días vuelve a la caja la plata que ponés en mercadería?</t>
        </is>
      </c>
      <c r="E11" s="7" t="inlineStr">
        <is>
          <t>Días de inventario + Días de cobro − Días de pago</t>
        </is>
      </c>
      <c r="F11" s="11">
        <f>'Tus números'!$C$21+'Tus números'!$C$22-'Tus números'!$C$23</f>
        <v/>
      </c>
      <c r="G11" s="6">
        <f>IF(F11&lt;0,"Negativo: tus proveedores te financian "&amp;-F11&amp;" días. Esa plata no es tuya: separá lo que les debés.","Positivo: ponés plata "&amp;F11&amp;" días antes de recuperarla. Necesitás capital de trabajo.")</f>
        <v/>
      </c>
    </row>
    <row r="12" ht="48" customHeight="1">
      <c r="B12" s="4" t="n">
        <v>7</v>
      </c>
      <c r="C12" s="5" t="inlineStr">
        <is>
          <t>ROI</t>
        </is>
      </c>
      <c r="D12" s="6" t="inlineStr">
        <is>
          <t>¿Cuánto rinde por año todo lo que se puso en el negocio?</t>
        </is>
      </c>
      <c r="E12" s="7" t="inlineStr">
        <is>
          <t>Ganancia del año ÷ Todo lo que se puso × 100</t>
        </is>
      </c>
      <c r="F12" s="8">
        <f>IFERROR('Tus números'!$C$26/'Tus números'!$C$27,"")</f>
        <v/>
      </c>
      <c r="G12" s="6">
        <f>IF(F12="","Cargá la ganancia y lo que se puso.","Recuperás la inversión en unos "&amp;ROUND(1/F12,1)&amp;" años. Comparalo con la tasa de la hoja ""Tus números"" ("&amp;TEXT('Tus números'!$C$31,"0%")&amp;").")</f>
        <v/>
      </c>
    </row>
    <row r="13" ht="48" customHeight="1">
      <c r="B13" s="4" t="n">
        <v>8</v>
      </c>
      <c r="C13" s="5" t="inlineStr">
        <is>
          <t>ROE</t>
        </is>
      </c>
      <c r="D13" s="6" t="inlineStr">
        <is>
          <t>¿Cuánto rinde por año la plata que pusiste vos?</t>
        </is>
      </c>
      <c r="E13" s="7" t="inlineStr">
        <is>
          <t>Ganancia del año ÷ Lo que pusiste vos × 100</t>
        </is>
      </c>
      <c r="F13" s="8">
        <f>IFERROR('Tus números'!$C$26/'Tus números'!$C$28,"")</f>
        <v/>
      </c>
      <c r="G13" s="6">
        <f>IF(F13="","Cargá la ganancia y lo que pusiste vos.",IF(F13&gt;'Tus números'!$C$31,"Tu plata rinde más que la tasa de la hoja ""Tus números"" ("&amp;TEXT('Tus números'!$C$31,"0%")&amp;").","Tu plata rinde igual o menos que la tasa de la hoja ""Tus números"" ("&amp;TEXT('Tus números'!$C$31,"0%")&amp;"): en otro lado ganarías parecido."))</f>
        <v/>
      </c>
    </row>
    <row r="14" ht="48" customHeight="1">
      <c r="B14" s="4" t="n">
        <v>9</v>
      </c>
      <c r="C14" s="5" t="inlineStr">
        <is>
          <t>VPN</t>
        </is>
      </c>
      <c r="D14" s="6" t="inlineStr">
        <is>
          <t>¿Te conviene esta inversión?</t>
        </is>
      </c>
      <c r="E14" s="7" t="inlineStr">
        <is>
          <t>Lo que te deja, en plata de hoy − Lo que ponés</t>
        </is>
      </c>
      <c r="F14" s="9">
        <f>IFERROR(NPV('Tus números'!$C$31,'Tus números'!$C$35:$C$39)+'Tus números'!$C$34,"")</f>
        <v/>
      </c>
      <c r="G14" s="6">
        <f>IF(F14="","Cargá la tasa y los flujos.",IF(F14&gt;0,"Más que 0: la inversión conviene.","Menos que 0: con esa tasa, no conviene."))</f>
        <v/>
      </c>
    </row>
    <row r="15" ht="48" customHeight="1">
      <c r="B15" s="4" t="n">
        <v>10</v>
      </c>
      <c r="C15" s="5" t="inlineStr">
        <is>
          <t>TIR</t>
        </is>
      </c>
      <c r="D15" s="6" t="inlineStr">
        <is>
          <t>¿Cuánto te rinde por año esta inversión?</t>
        </is>
      </c>
      <c r="E15" s="7" t="inlineStr">
        <is>
          <t>La tasa que hace que el VPN dé 0</t>
        </is>
      </c>
      <c r="F15" s="8">
        <f>IFERROR(IRR('Tus números'!$C$34:$C$39),"")</f>
        <v/>
      </c>
      <c r="G15" s="6">
        <f>IF(F15="","Cargá los flujos (el año 0 en negativo).",IF(F15&gt;'Tus números'!$C$31,"Mayor que lo que te cuesta la plata ("&amp;TEXT('Tus números'!$C$31,"0%")&amp;"): conviene.","Menor que lo que te cuesta la plata ("&amp;TEXT('Tus números'!$C$31,"0%")&amp;"): no conviene."))</f>
        <v/>
      </c>
    </row>
    <row r="17">
      <c r="B17" s="12" t="inlineStr">
        <is>
          <t>¿Algún número te dio raro o no lo sabés sacar? Hacé el diagnóstico gratis en ordenfinanciero.com: 12 preguntas, 3 minutos.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70" customWidth="1" min="4" max="4"/>
  </cols>
  <sheetData>
    <row r="2">
      <c r="B2" s="1" t="inlineStr">
        <is>
          <t>Tus números</t>
        </is>
      </c>
    </row>
    <row r="3">
      <c r="B3" s="2" t="inlineStr">
        <is>
          <t>Cambiá solo las celdas celestes. Viene cargado un restaurante de ejemplo. Todo sin IVA.</t>
        </is>
      </c>
    </row>
    <row r="6" ht="24" customHeight="1">
      <c r="B6" s="13" t="inlineStr">
        <is>
          <t>Del último mes</t>
        </is>
      </c>
    </row>
    <row r="7" ht="30" customHeight="1">
      <c r="B7" s="14" t="inlineStr">
        <is>
          <t>Ventas del mes, sin IVA</t>
        </is>
      </c>
      <c r="C7" s="15" t="n">
        <v>40000000</v>
      </c>
      <c r="D7" s="16" t="inlineStr">
        <is>
          <t>Lo que vendiste en el mes, sin IVA. Si sos monotributista, lo que cobraste.</t>
        </is>
      </c>
    </row>
    <row r="8" ht="30" customHeight="1">
      <c r="B8" s="14" t="inlineStr">
        <is>
          <t>Mercadería vendida</t>
        </is>
      </c>
      <c r="C8" s="15" t="n">
        <v>12000000</v>
      </c>
      <c r="D8" s="16" t="inlineStr">
        <is>
          <t>Lo que te costó la comida y la bebida que vendiste en el mes (tu contador le dice CMV).</t>
        </is>
      </c>
    </row>
    <row r="9" ht="30" customHeight="1">
      <c r="B9" s="14" t="inlineStr">
        <is>
          <t>Envases y comisiones</t>
        </is>
      </c>
      <c r="C9" s="15" t="n">
        <v>0</v>
      </c>
      <c r="D9" s="16" t="inlineStr">
        <is>
          <t>Lo que sube cuanto más vendés: envases, comisiones de apps de delivery y de tarjetas.</t>
        </is>
      </c>
    </row>
    <row r="10" ht="30" customHeight="1">
      <c r="B10" s="14" t="inlineStr">
        <is>
          <t>Gastos fijos del mes (sin el desgaste de equipos)</t>
        </is>
      </c>
      <c r="C10" s="15" t="n">
        <v>15800000</v>
      </c>
      <c r="D10" s="16" t="inlineStr">
        <is>
          <t>Alquiler, sueldos con aguinaldo y cargas, servicios, contador, sistemas y tu sueldo.</t>
        </is>
      </c>
    </row>
    <row r="11" ht="30" customHeight="1">
      <c r="B11" s="14" t="inlineStr">
        <is>
          <t>Desgaste de los equipos por mes</t>
        </is>
      </c>
      <c r="C11" s="15" t="n">
        <v>1000000</v>
      </c>
      <c r="D11" s="16" t="inlineStr">
        <is>
          <t>Horno, heladera, obra: lo que pagaste dividido por los meses que dura. Ej: horno de $12.000.000 que dura 10 años = $100.000 por mes. Tu contador le dice amortizaciones.</t>
        </is>
      </c>
    </row>
    <row r="13" ht="24" customHeight="1">
      <c r="B13" s="13" t="inlineStr">
        <is>
          <t>Un producto</t>
        </is>
      </c>
    </row>
    <row r="14" ht="30" customHeight="1">
      <c r="B14" s="14" t="inlineStr">
        <is>
          <t>Precio de venta sin IVA</t>
        </is>
      </c>
      <c r="C14" s="15" t="n">
        <v>14000</v>
      </c>
      <c r="D14" s="16" t="inlineStr">
        <is>
          <t>Del producto que quieras mirar. Ej: la hamburguesa.</t>
        </is>
      </c>
    </row>
    <row r="15" ht="30" customHeight="1">
      <c r="B15" s="14" t="inlineStr">
        <is>
          <t>Lo que te cuesta hacerlo</t>
        </is>
      </c>
      <c r="C15" s="15" t="n">
        <v>4200</v>
      </c>
      <c r="D15" s="16" t="inlineStr">
        <is>
          <t>Ingredientes, envase y comisión de esa venta.</t>
        </is>
      </c>
    </row>
    <row r="17" ht="24" customHeight="1">
      <c r="B17" s="13" t="inlineStr">
        <is>
          <t>Hoy</t>
        </is>
      </c>
    </row>
    <row r="18" ht="30" customHeight="1">
      <c r="B18" s="14" t="inlineStr">
        <is>
          <t>Plata en caja y banco</t>
        </is>
      </c>
      <c r="C18" s="15" t="n">
        <v>6000000</v>
      </c>
      <c r="D18" s="16" t="inlineStr">
        <is>
          <t>Lo que tenés hoy en efectivo y en el banco.</t>
        </is>
      </c>
    </row>
    <row r="19" ht="30" customHeight="1">
      <c r="B19" s="14" t="inlineStr">
        <is>
          <t>Lo que te deben</t>
        </is>
      </c>
      <c r="C19" s="15" t="n">
        <v>3000000</v>
      </c>
      <c r="D19" s="16" t="inlineStr">
        <is>
          <t>Tarjetas y apps que todavía no te pagaron, clientes con cuenta.</t>
        </is>
      </c>
    </row>
    <row r="20" ht="30" customHeight="1">
      <c r="B20" s="14" t="inlineStr">
        <is>
          <t>Lo que tenés que pagar este año</t>
        </is>
      </c>
      <c r="C20" s="15" t="n">
        <v>7500000</v>
      </c>
      <c r="D20" s="16" t="inlineStr">
        <is>
          <t>Proveedores, sueldos, impuestos y cuotas de préstamos que vencen en los próximos 12 meses.</t>
        </is>
      </c>
    </row>
    <row r="21" ht="30" customHeight="1">
      <c r="B21" s="14" t="inlineStr">
        <is>
          <t>Días de inventario</t>
        </is>
      </c>
      <c r="C21" s="17" t="n">
        <v>5</v>
      </c>
      <c r="D21" s="16" t="inlineStr">
        <is>
          <t>Cuántos días dura la mercadería desde que la comprás hasta que la vendés.</t>
        </is>
      </c>
    </row>
    <row r="22" ht="30" customHeight="1">
      <c r="B22" s="14" t="inlineStr">
        <is>
          <t>Días de cobro</t>
        </is>
      </c>
      <c r="C22" s="17" t="n">
        <v>2</v>
      </c>
      <c r="D22" s="16" t="inlineStr">
        <is>
          <t>Cuántos días tardás en cobrar. Efectivo = 0; tarjeta de crédito y apps, más.</t>
        </is>
      </c>
    </row>
    <row r="23" ht="30" customHeight="1">
      <c r="B23" s="14" t="inlineStr">
        <is>
          <t>Días de pago</t>
        </is>
      </c>
      <c r="C23" s="17" t="n">
        <v>30</v>
      </c>
      <c r="D23" s="16" t="inlineStr">
        <is>
          <t>Cuántos días tardás en pagarles a tus proveedores.</t>
        </is>
      </c>
    </row>
    <row r="25" ht="24" customHeight="1">
      <c r="B25" s="13" t="inlineStr">
        <is>
          <t>Del último año</t>
        </is>
      </c>
    </row>
    <row r="26" ht="30" customHeight="1">
      <c r="B26" s="14" t="inlineStr">
        <is>
          <t>Ganancia del año</t>
        </is>
      </c>
      <c r="C26" s="15" t="n">
        <v>24000000</v>
      </c>
      <c r="D26" s="16" t="inlineStr">
        <is>
          <t>Lo que quedó después de pagar todo: costos, intereses e impuestos.</t>
        </is>
      </c>
    </row>
    <row r="27" ht="30" customHeight="1">
      <c r="B27" s="14" t="inlineStr">
        <is>
          <t>Todo lo que se puso en el negocio</t>
        </is>
      </c>
      <c r="C27" s="15" t="n">
        <v>80000000</v>
      </c>
      <c r="D27" s="16" t="inlineStr">
        <is>
          <t>Obra, equipos, mercadería y caja para arrancar. Lo tuyo y lo prestado.</t>
        </is>
      </c>
    </row>
    <row r="28" ht="30" customHeight="1">
      <c r="B28" s="14" t="inlineStr">
        <is>
          <t>Lo que pusiste vos</t>
        </is>
      </c>
      <c r="C28" s="15" t="n">
        <v>60000000</v>
      </c>
      <c r="D28" s="16" t="inlineStr">
        <is>
          <t>Lo de arriba menos lo que pediste prestado.</t>
        </is>
      </c>
    </row>
    <row r="30" ht="24" customHeight="1">
      <c r="B30" s="13" t="inlineStr">
        <is>
          <t>Una inversión que estás pensando (para VPN y TIR)</t>
        </is>
      </c>
    </row>
    <row r="31" ht="30" customHeight="1">
      <c r="B31" s="14" t="inlineStr">
        <is>
          <t>Lo que te cuesta la plata, por año</t>
        </is>
      </c>
      <c r="C31" s="18" t="n">
        <v>0.3</v>
      </c>
      <c r="D31" s="16" t="inlineStr">
        <is>
          <t>La tasa del préstamo, o lo que ganarías poniendo la plata en otro lado. En la misma moneda que los flujos.</t>
        </is>
      </c>
    </row>
    <row r="33" ht="22" customHeight="1">
      <c r="B33" s="3" t="inlineStr">
        <is>
          <t>Año</t>
        </is>
      </c>
      <c r="C33" s="3" t="inlineStr">
        <is>
          <t>Plata</t>
        </is>
      </c>
      <c r="D33" s="3" t="inlineStr">
        <is>
          <t>Qué es</t>
        </is>
      </c>
    </row>
    <row r="34">
      <c r="B34" s="14" t="inlineStr">
        <is>
          <t>Año 0</t>
        </is>
      </c>
      <c r="C34" s="19" t="n">
        <v>-20000000</v>
      </c>
      <c r="D34" s="20" t="inlineStr">
        <is>
          <t>Lo que ponés hoy, en negativo. Ej: la obra de una terraza.</t>
        </is>
      </c>
    </row>
    <row r="35">
      <c r="B35" s="14" t="inlineStr">
        <is>
          <t>Año 1</t>
        </is>
      </c>
      <c r="C35" s="19" t="n">
        <v>10000000</v>
      </c>
      <c r="D35" s="20" t="inlineStr">
        <is>
          <t>Lo que te deja de más ese año (ventas extra menos sus costos).</t>
        </is>
      </c>
    </row>
    <row r="36">
      <c r="B36" s="14" t="inlineStr">
        <is>
          <t>Año 2</t>
        </is>
      </c>
      <c r="C36" s="19" t="n">
        <v>10000000</v>
      </c>
      <c r="D36" s="20" t="inlineStr"/>
    </row>
    <row r="37">
      <c r="B37" s="14" t="inlineStr">
        <is>
          <t>Año 3</t>
        </is>
      </c>
      <c r="C37" s="19" t="n">
        <v>10000000</v>
      </c>
      <c r="D37" s="20" t="inlineStr"/>
    </row>
    <row r="38">
      <c r="B38" s="14" t="inlineStr">
        <is>
          <t>Año 4</t>
        </is>
      </c>
      <c r="C38" s="19" t="n">
        <v>10000000</v>
      </c>
      <c r="D38" s="20" t="inlineStr"/>
    </row>
    <row r="39">
      <c r="B39" s="14" t="inlineStr">
        <is>
          <t>Año 5</t>
        </is>
      </c>
      <c r="C39" s="19" t="n">
        <v>0</v>
      </c>
      <c r="D39" s="20" t="inlineStr">
        <is>
          <t>Si dura menos años, dejá 0.</t>
        </is>
      </c>
    </row>
  </sheetData>
  <dataValidations count="1">
    <dataValidation sqref="C7 C8 C9 C10 C11 C14 C15 C18 C19 C20 C21 C22 C23 C26 C27 C28 C31 C34 C34:C39" showDropDown="0" showInputMessage="0" showErrorMessage="1" allowBlank="0" errorTitle="Solo números" error="Escribí un número, sin letras." type="decimal" operator="between">
      <formula1>-1000000000000</formula1>
      <formula2>1000000000000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2026-10-15T00:39:50Z</dcterms:created>
  <dcterms:modified xmlns:dcterms="http://purl.org/dc/terms/" xmlns:xsi="http://www.w3.org/2001/XMLSchema-instance" xsi:type="dcterms:W3CDTF">2026-10-15T00:39:50Z</dcterms:modified>
</cp:coreProperties>
</file>